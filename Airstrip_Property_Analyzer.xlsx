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Propert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<sst xmlns="http://schemas.openxmlformats.org/spreadsheetml/2006/main" count="112" uniqueCount="104">
  <si>
    <t xml:space="preserve">AIRSTRIP PROPERTY ANALYZER  |  Central &amp; Eastern Oregon + Columbia Gorge (WA side)</t>
  </si>
  <si>
    <t xml:space="preserve">WHAT THIS DOES</t>
  </si>
  <si>
    <t xml:space="preserve">Screens land listings for private-runway feasibility for a Cessna 172S or 182T. For each lot it computes hot-day and cool-day density altitude, the runway length you actually need (POH distances adjusted for DA, grass surface, and a safety margin), crosswind exposure against regional prevailing winds, grade and earthwork workability, and approach obstacle clearance. It then scores the lot 0-100 and issues a verdict.</t>
  </si>
  <si>
    <t xml:space="preserve">HOW TO USE IT</t>
  </si>
  <si>
    <t xml:space="preserve">1. Zillow killed its public API years ago and scraping violates their terms, so this is a paste-in tool, not a live feed. Set up a Zillow saved search (Land, 40+ acres, your price band, map drawn around your target areas) and let their email alerts be your data feed. LandWatch and Land.com cover rural parcels Zillow misses.</t>
  </si>
  <si>
    <t xml:space="preserve">2. For each candidate, fill the YELLOW cells on the Properties tab. Everything else calculates. Enter grades as percentages (1.5% not 150%).</t>
  </si>
  <si>
    <t xml:space="preserve">3. Elevation and terrain: use the county GIS parcel viewer plus Google Earth's elevation profile tool. Draw your candidate runway line, read min/max elevation along it, and that gives you longitudinal grade and cut/fill estimates. USGS 3DEP lidar (apps.nationalmap.gov) is the gold standard for Oregon and Washington.</t>
  </si>
  <si>
    <t xml:space="preserve">4. Wind: the regional defaults on the Assumptions tab are planning numbers. Verify with the Iowa State Mesonet wind rose for the nearest AWOS/ASOS (KDLS for the Gorge, KRDM/KBDN for Central OR, KCVO area stations east) before you fall in love with a parcel.</t>
  </si>
  <si>
    <t xml:space="preserve">5. Rows 2-4 are worked EXAMPLES showing expected formats. Overwrite or delete them. Formulas are prefilled through row 31; copy row 31 down for more.</t>
  </si>
  <si>
    <t xml:space="preserve">THE MATH (all levers editable on the Assumptions tab)</t>
  </si>
  <si>
    <t xml:space="preserve">Density altitude = field elevation + 120 x (OAT degC minus ISA temp at elevation). Required runway = the longer of takeoff-over-50ft and landing-over-50ft POH distance, compounded 10% per 1,000 ft of DA, x 1.15 grass factor, x 1.25 pilot margin. That stack is roughly 44% over book before DA even bites. Deliberate. Book numbers were flown by a Cessna test pilot with a new engine. You are neither.</t>
  </si>
  <si>
    <t xml:space="preserve">Crosswind = regional wind speed x sin(angle between your runway heading and prevailing wind). Approach check: obstacles need 20 ft of distance per 1 ft of height off each threshold (a 50 ft treeline needs 1,000 ft of clear ground before it).</t>
  </si>
  <si>
    <t xml:space="preserve">GEOMETRY REALITY CHECK</t>
  </si>
  <si>
    <t xml:space="preserve">A square 40-acre parcel gives you 1,320 ft per side and 1,867 ft on the diagonal. At high-desert density altitudes you will want 2,500 to 4,000 ft with margins. Shop for long, skinny parcels oriented into the wind, or 80 to 160+ acres. Acreage without geometry is a pasture, not an airport.</t>
  </si>
  <si>
    <t xml:space="preserve">THE FILTERS THAT ACTUALLY KILL DEALS (check before you offer)</t>
  </si>
  <si>
    <t xml:space="preserve">Zoning first, dirt second. Oregon: personal-use airports are a conditional use on EFU-zoned land under ORS 215.283(2), but the county land-use process decides, and Oregon Dept of Aviation site approval plus state airport registration apply. Washington: county conditional-use permit plus WSDOT Aviation registration. Both states: file FAA Form 7480-1 (airspace study) before construction. In the Gorge, anything inside the Columbia River Gorge National Scenic Area boundary adds a federal-level review that has killed far sturdier projects than an airstrip. Call the county planner before the listing agent.</t>
  </si>
  <si>
    <t xml:space="preserve">Also check: powerline easements crossing the parcel, wildfire insurance availability, and neighbors. One noise complaint at the conditional-use hearing outweighs a thousand feet of runway.</t>
  </si>
  <si>
    <t xml:space="preserve">LEGEND</t>
  </si>
  <si>
    <t xml:space="preserve">Yellow cells with blue text = you enter. Black text = formulas, leave alone. This is a screening tool: final go/no-go comes from your POH performance tables, a site walk, and the county planning department, in that order.</t>
  </si>
  <si>
    <t xml:space="preserve">ASSUMPTIONS &amp; LEVERS</t>
  </si>
  <si>
    <t xml:space="preserve">Yellow cells are editable. Every number here drives the Properties tab.</t>
  </si>
  <si>
    <t xml:space="preserve">AIRCRAFT PERFORMANCE (POH Section 5: sea level, ISA, max gross, paved level dry runway)</t>
  </si>
  <si>
    <t xml:space="preserve">Aircraft</t>
  </si>
  <si>
    <t xml:space="preserve">TO ground roll (ft)</t>
  </si>
  <si>
    <t xml:space="preserve">TO over 50 ft (ft)</t>
  </si>
  <si>
    <t xml:space="preserve">Ldg ground roll (ft)</t>
  </si>
  <si>
    <t xml:space="preserve">Ldg over 50 ft (ft)</t>
  </si>
  <si>
    <t xml:space="preserve">Source / notes</t>
  </si>
  <si>
    <t xml:space="preserve">C172S</t>
  </si>
  <si>
    <t xml:space="preserve">Cessna 172S NAV III POH, Sect. 5. Flaps 10 takeoff, full flaps landing. Verify against your serial's POH.</t>
  </si>
  <si>
    <t xml:space="preserve">C182T</t>
  </si>
  <si>
    <t xml:space="preserve">Cessna 182T POH, Sect. 5. Verify against your serial's POH.</t>
  </si>
  <si>
    <t xml:space="preserve">Design aircraft (dropdown)</t>
  </si>
  <si>
    <t xml:space="preserve">Runway must serve the worse of takeoff and landing for the selected aircraft.</t>
  </si>
  <si>
    <t xml:space="preserve">Selected TO over-50 ft distance (ft)</t>
  </si>
  <si>
    <t xml:space="preserve">Selected Ldg over-50 ft distance (ft)</t>
  </si>
  <si>
    <t xml:space="preserve">PLANNING LEVERS</t>
  </si>
  <si>
    <t xml:space="preserve">Distance increase per 1,000 ft density altitude</t>
  </si>
  <si>
    <t xml:space="preserve">Compounded. Conservative screening rule consistent with Koch chart; verify final numbers in POH tables.</t>
  </si>
  <si>
    <t xml:space="preserve">Grass / soft-field surface factor</t>
  </si>
  <si>
    <t xml:space="preserve">POH assumes paved. Dry grass adds roughly 15% to ground roll; more if soft or long.</t>
  </si>
  <si>
    <t xml:space="preserve">Pilot safety margin</t>
  </si>
  <si>
    <t xml:space="preserve">1.25 = +25% over book. Raise to 1.5+ while you are new to off-airport ops. Book numbers assume perfect technique.</t>
  </si>
  <si>
    <t xml:space="preserve">Max acceptable crosswind component (kt)</t>
  </si>
  <si>
    <t xml:space="preserve">C172/182 demonstrated crosswind is 15 kt. 12 kt planning cap leaves room for gusts.</t>
  </si>
  <si>
    <t xml:space="preserve">Max longitudinal grade</t>
  </si>
  <si>
    <t xml:space="preserve">FAA small-airport guidance. Above 2% you land upslope / take off downslope and accept one-way ops.</t>
  </si>
  <si>
    <t xml:space="preserve">Max cross slope</t>
  </si>
  <si>
    <t xml:space="preserve">Above 2% cross slope gets sporty on rollout.</t>
  </si>
  <si>
    <t xml:space="preserve">Max cut/fill workable with compact equipment (ft)</t>
  </si>
  <si>
    <t xml:space="preserve">Roughly what a skid steer / compact dozer and patience can move. Beyond this you are hiring excavation.</t>
  </si>
  <si>
    <t xml:space="preserve">Required approach slope (ft of distance per ft of obstacle height)</t>
  </si>
  <si>
    <t xml:space="preserve">20:1 clear approach surface each end. A 50 ft treeline needs 1,000 ft of standoff.</t>
  </si>
  <si>
    <t xml:space="preserve">REGIONAL DEFAULTS (planning values; verify with nearest AWOS wind rose via Iowa State Mesonet)</t>
  </si>
  <si>
    <t xml:space="preserve">Region</t>
  </si>
  <si>
    <t xml:space="preserve">Hot-day temp (F)</t>
  </si>
  <si>
    <t xml:space="preserve">Cool-day temp (F)</t>
  </si>
  <si>
    <t xml:space="preserve">Prevailing wind (deg true)</t>
  </si>
  <si>
    <t xml:space="preserve">Typical wind (kt)</t>
  </si>
  <si>
    <t xml:space="preserve">Notes</t>
  </si>
  <si>
    <t xml:space="preserve">Columbia Gorge (WA side)</t>
  </si>
  <si>
    <t xml:space="preserve">Strong summer westerlies, winter easterlies. Same axis, so an E-W runway works both, but expect gusts and terrain rotor.</t>
  </si>
  <si>
    <t xml:space="preserve">Central Oregon</t>
  </si>
  <si>
    <t xml:space="preserve">Bend / Redmond / Prineville / Madras. NW-W afternoons, calm mornings. Elevations 2,400-4,000 ft.</t>
  </si>
  <si>
    <t xml:space="preserve">Eastern Oregon</t>
  </si>
  <si>
    <t xml:space="preserve">High desert, 4,000 ft+. SW-W winds, huge diurnal DA swing. Morning flying country.</t>
  </si>
  <si>
    <t xml:space="preserve">Address / listing</t>
  </si>
  <si>
    <t xml:space="preserve">URL</t>
  </si>
  <si>
    <t xml:space="preserve">Region (dropdown)</t>
  </si>
  <si>
    <t xml:space="preserve">Price ($)</t>
  </si>
  <si>
    <t xml:space="preserve">Acres</t>
  </si>
  <si>
    <t xml:space="preserve">$ / acre</t>
  </si>
  <si>
    <t xml:space="preserve">Field elev (ft)</t>
  </si>
  <si>
    <t xml:space="preserve">Density alt HOT (ft)</t>
  </si>
  <si>
    <t xml:space="preserve">Density alt COOL (ft)</t>
  </si>
  <si>
    <t xml:space="preserve">Req'd runway HOT (ft)</t>
  </si>
  <si>
    <t xml:space="preserve">Req'd runway COOL (ft)</t>
  </si>
  <si>
    <t xml:space="preserve">Usable run length (ft)</t>
  </si>
  <si>
    <t xml:space="preserve">Runway fit</t>
  </si>
  <si>
    <t xml:space="preserve">Runway heading (deg true)</t>
  </si>
  <si>
    <t xml:space="preserve">Prevailing wind (deg)</t>
  </si>
  <si>
    <t xml:space="preserve">Wind speed (kt)</t>
  </si>
  <si>
    <t xml:space="preserve">Crosswind (kt)</t>
  </si>
  <si>
    <t xml:space="preserve">Wind OK?</t>
  </si>
  <si>
    <t xml:space="preserve">Long. grade (%)</t>
  </si>
  <si>
    <t xml:space="preserve">Cross slope (%)</t>
  </si>
  <si>
    <t xml:space="preserve">Grade OK?</t>
  </si>
  <si>
    <t xml:space="preserve">Max cut/fill (ft)</t>
  </si>
  <si>
    <t xml:space="preserve">Earthwork OK?</t>
  </si>
  <si>
    <t xml:space="preserve">End 1 obstacle ht (ft)</t>
  </si>
  <si>
    <t xml:space="preserve">End 1 obstacle dist (ft)</t>
  </si>
  <si>
    <t xml:space="preserve">End 2 obstacle ht (ft)</t>
  </si>
  <si>
    <t xml:space="preserve">End 2 obstacle dist (ft)</t>
  </si>
  <si>
    <t xml:space="preserve">Approach OK?</t>
  </si>
  <si>
    <t xml:space="preserve">Score (0-100)</t>
  </si>
  <si>
    <t xml:space="preserve">Verdict</t>
  </si>
  <si>
    <t xml:space="preserve">EXAMPLE: 92ac off Centerville Hwy, Goldendale WA</t>
  </si>
  <si>
    <t xml:space="preserve">https://www.zillow.com/...</t>
  </si>
  <si>
    <t xml:space="preserve">Open wheat ground; check Scenic Area boundary + Klickitat Co. CUP</t>
  </si>
  <si>
    <t xml:space="preserve">EXAMPLE: 160ac Christmas Valley OR</t>
  </si>
  <si>
    <t xml:space="preserve">https://www.landwatch.com/...</t>
  </si>
  <si>
    <t xml:space="preserve">Flat playa edge; morning ops in summer; Lake Co. EFU conditional use</t>
  </si>
  <si>
    <t xml:space="preserve">EXAMPLE: 20ac Tumalo / Bend OR</t>
  </si>
  <si>
    <t xml:space="preserve">Pretty lot, hopeless geometry: 1,200 ft run at 6,500 ft summer DA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</si>
</sst>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"/>
    <numFmt numFmtId="169" formatCode="0.0%"/>
    <numFmt numFmtId="170" formatCode="\$#,##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2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74706"/>
        <sz val="10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CE4D6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747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21.75" hidden="false" customHeight="tru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.75" hidden="false" customHeight="true" outlineLevel="0" collapsed="false">
      <c r="B3" s="3" t="s">
        <v>1</v>
      </c>
    </row>
    <row r="4" customFormat="false" ht="45" hidden="false" customHeight="true" outlineLevel="0" collapsed="false">
      <c r="B4" s="2" t="s">
        <v>2</v>
      </c>
    </row>
    <row r="5" customFormat="false" ht="15" hidden="false" customHeight="false" outlineLevel="0" collapsed="false">
      <c r="B5" s="2"/>
    </row>
    <row r="6" customFormat="false" ht="15.75" hidden="false" customHeight="true" outlineLevel="0" collapsed="false">
      <c r="B6" s="3" t="s">
        <v>3</v>
      </c>
    </row>
    <row r="7" customFormat="false" ht="45" hidden="false" customHeight="true" outlineLevel="0" collapsed="false">
      <c r="B7" s="2" t="s">
        <v>4</v>
      </c>
    </row>
    <row r="8" customFormat="false" ht="15" hidden="false" customHeight="true" outlineLevel="0" collapsed="false">
      <c r="B8" s="2" t="s">
        <v>5</v>
      </c>
    </row>
    <row r="9" customFormat="false" ht="45" hidden="false" customHeight="true" outlineLevel="0" collapsed="false">
      <c r="B9" s="2" t="s">
        <v>6</v>
      </c>
    </row>
    <row r="10" customFormat="false" ht="30" hidden="false" customHeight="true" outlineLevel="0" collapsed="false">
      <c r="B10" s="2" t="s">
        <v>7</v>
      </c>
    </row>
    <row r="11" customFormat="false" ht="15" hidden="false" customHeight="true" outlineLevel="0" collapsed="false">
      <c r="B11" s="2" t="s">
        <v>8</v>
      </c>
    </row>
    <row r="12" customFormat="false" ht="15" hidden="false" customHeight="false" outlineLevel="0" collapsed="false">
      <c r="B12" s="2"/>
    </row>
    <row r="13" customFormat="false" ht="15.75" hidden="false" customHeight="true" outlineLevel="0" collapsed="false">
      <c r="B13" s="3" t="s">
        <v>9</v>
      </c>
    </row>
    <row r="14" customFormat="false" ht="45" hidden="false" customHeight="true" outlineLevel="0" collapsed="false">
      <c r="B14" s="2" t="s">
        <v>10</v>
      </c>
    </row>
    <row r="15" customFormat="false" ht="30" hidden="false" customHeight="tru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.75" hidden="false" customHeight="true" outlineLevel="0" collapsed="false">
      <c r="B17" s="3" t="s">
        <v>12</v>
      </c>
    </row>
    <row r="18" customFormat="false" ht="30" hidden="false" customHeight="tru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.75" hidden="false" customHeight="true" outlineLevel="0" collapsed="false">
      <c r="B20" s="3" t="s">
        <v>14</v>
      </c>
    </row>
    <row r="21" customFormat="false" ht="60" hidden="false" customHeight="true" outlineLevel="0" collapsed="false">
      <c r="B21" s="2" t="s">
        <v>15</v>
      </c>
    </row>
    <row r="22" customFormat="false" ht="30" hidden="false" customHeight="true" outlineLevel="0" collapsed="false">
      <c r="B22" s="2" t="s">
        <v>16</v>
      </c>
    </row>
    <row r="23" customFormat="false" ht="15" hidden="false" customHeight="false" outlineLevel="0" collapsed="false">
      <c r="B23" s="2"/>
    </row>
    <row r="24" customFormat="false" ht="15.75" hidden="false" customHeight="true" outlineLevel="0" collapsed="false">
      <c r="B24" s="3" t="s">
        <v>17</v>
      </c>
    </row>
    <row r="25" customFormat="false" ht="30" hidden="false" customHeight="true" outlineLevel="0" collapsed="false">
      <c r="B25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78"/>
  </cols>
  <sheetData>
    <row r="1" customFormat="false" ht="16.15" hidden="false" customHeight="false" outlineLevel="0" collapsed="false">
      <c r="A1" s="4" t="s">
        <v>19</v>
      </c>
    </row>
    <row r="2" customFormat="false" ht="15" hidden="false" customHeight="false" outlineLevel="0" collapsed="false">
      <c r="A2" s="5" t="s">
        <v>20</v>
      </c>
    </row>
    <row r="4" customFormat="false" ht="15" hidden="false" customHeight="false" outlineLevel="0" collapsed="false">
      <c r="A4" s="6" t="s">
        <v>21</v>
      </c>
    </row>
    <row r="5" customFormat="false" ht="22.35" hidden="false" customHeight="false" outlineLevel="0" collapsed="false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</row>
    <row r="6" customFormat="false" ht="27.75" hidden="false" customHeight="true" outlineLevel="0" collapsed="false">
      <c r="A6" s="8" t="s">
        <v>28</v>
      </c>
      <c r="B6" s="9" t="n">
        <v>960</v>
      </c>
      <c r="C6" s="9" t="n">
        <v>1630</v>
      </c>
      <c r="D6" s="9" t="n">
        <v>575</v>
      </c>
      <c r="E6" s="9" t="n">
        <v>1335</v>
      </c>
      <c r="F6" s="10" t="s">
        <v>29</v>
      </c>
    </row>
    <row r="7" customFormat="false" ht="27.75" hidden="false" customHeight="true" outlineLevel="0" collapsed="false">
      <c r="A7" s="8" t="s">
        <v>30</v>
      </c>
      <c r="B7" s="9" t="n">
        <v>795</v>
      </c>
      <c r="C7" s="9" t="n">
        <v>1514</v>
      </c>
      <c r="D7" s="9" t="n">
        <v>590</v>
      </c>
      <c r="E7" s="9" t="n">
        <v>1350</v>
      </c>
      <c r="F7" s="10" t="s">
        <v>31</v>
      </c>
    </row>
    <row r="9" customFormat="false" ht="15" hidden="false" customHeight="false" outlineLevel="0" collapsed="false">
      <c r="A9" s="11" t="s">
        <v>32</v>
      </c>
      <c r="B9" s="12" t="s">
        <v>28</v>
      </c>
      <c r="F9" s="13" t="s">
        <v>33</v>
      </c>
    </row>
    <row r="10" customFormat="false" ht="15" hidden="false" customHeight="false" outlineLevel="0" collapsed="false">
      <c r="A10" s="14" t="s">
        <v>34</v>
      </c>
      <c r="B10" s="15" t="n">
        <f aca="false">INDEX($C$6:$C$7,MATCH($B$9,$A$6:$A$7,0))</f>
        <v>1630</v>
      </c>
    </row>
    <row r="11" customFormat="false" ht="15" hidden="false" customHeight="false" outlineLevel="0" collapsed="false">
      <c r="A11" s="14" t="s">
        <v>35</v>
      </c>
      <c r="B11" s="15" t="n">
        <f aca="false">INDEX($E$6:$E$7,MATCH($B$9,$A$6:$A$7,0))</f>
        <v>1335</v>
      </c>
    </row>
    <row r="13" customFormat="false" ht="15" hidden="false" customHeight="false" outlineLevel="0" collapsed="false">
      <c r="A13" s="6" t="s">
        <v>36</v>
      </c>
    </row>
    <row r="14" customFormat="false" ht="22.35" hidden="false" customHeight="false" outlineLevel="0" collapsed="false">
      <c r="A14" s="14" t="s">
        <v>37</v>
      </c>
      <c r="B14" s="16" t="n">
        <v>0.1</v>
      </c>
      <c r="F14" s="13" t="s">
        <v>38</v>
      </c>
    </row>
    <row r="15" customFormat="false" ht="15" hidden="false" customHeight="false" outlineLevel="0" collapsed="false">
      <c r="A15" s="14" t="s">
        <v>39</v>
      </c>
      <c r="B15" s="17" t="n">
        <v>1.15</v>
      </c>
      <c r="F15" s="13" t="s">
        <v>40</v>
      </c>
    </row>
    <row r="16" customFormat="false" ht="22.35" hidden="false" customHeight="false" outlineLevel="0" collapsed="false">
      <c r="A16" s="14" t="s">
        <v>41</v>
      </c>
      <c r="B16" s="17" t="n">
        <v>1.25</v>
      </c>
      <c r="F16" s="13" t="s">
        <v>42</v>
      </c>
    </row>
    <row r="17" customFormat="false" ht="15" hidden="false" customHeight="false" outlineLevel="0" collapsed="false">
      <c r="A17" s="14" t="s">
        <v>43</v>
      </c>
      <c r="B17" s="18" t="n">
        <v>12</v>
      </c>
      <c r="F17" s="13" t="s">
        <v>44</v>
      </c>
    </row>
    <row r="18" customFormat="false" ht="15" hidden="false" customHeight="false" outlineLevel="0" collapsed="false">
      <c r="A18" s="14" t="s">
        <v>45</v>
      </c>
      <c r="B18" s="19" t="n">
        <v>0.02</v>
      </c>
      <c r="F18" s="13" t="s">
        <v>46</v>
      </c>
    </row>
    <row r="19" customFormat="false" ht="15" hidden="false" customHeight="false" outlineLevel="0" collapsed="false">
      <c r="A19" s="14" t="s">
        <v>47</v>
      </c>
      <c r="B19" s="19" t="n">
        <v>0.02</v>
      </c>
      <c r="F19" s="13" t="s">
        <v>48</v>
      </c>
    </row>
    <row r="20" customFormat="false" ht="22.35" hidden="false" customHeight="false" outlineLevel="0" collapsed="false">
      <c r="A20" s="14" t="s">
        <v>49</v>
      </c>
      <c r="B20" s="18" t="n">
        <v>3</v>
      </c>
      <c r="F20" s="13" t="s">
        <v>50</v>
      </c>
    </row>
    <row r="21" customFormat="false" ht="15" hidden="false" customHeight="false" outlineLevel="0" collapsed="false">
      <c r="A21" s="14" t="s">
        <v>51</v>
      </c>
      <c r="B21" s="18" t="n">
        <v>20</v>
      </c>
      <c r="F21" s="13" t="s">
        <v>52</v>
      </c>
    </row>
    <row r="23" customFormat="false" ht="15" hidden="false" customHeight="false" outlineLevel="0" collapsed="false">
      <c r="A23" s="6" t="s">
        <v>53</v>
      </c>
    </row>
    <row r="24" customFormat="false" ht="22.35" hidden="false" customHeight="false" outlineLevel="0" collapsed="false">
      <c r="A24" s="7" t="s">
        <v>54</v>
      </c>
      <c r="B24" s="7" t="s">
        <v>55</v>
      </c>
      <c r="C24" s="7" t="s">
        <v>56</v>
      </c>
      <c r="D24" s="7" t="s">
        <v>57</v>
      </c>
      <c r="E24" s="7" t="s">
        <v>58</v>
      </c>
      <c r="F24" s="7" t="s">
        <v>59</v>
      </c>
    </row>
    <row r="25" customFormat="false" ht="27.75" hidden="false" customHeight="true" outlineLevel="0" collapsed="false">
      <c r="A25" s="8" t="s">
        <v>60</v>
      </c>
      <c r="B25" s="18" t="n">
        <v>95</v>
      </c>
      <c r="C25" s="18" t="n">
        <v>40</v>
      </c>
      <c r="D25" s="18" t="n">
        <v>270</v>
      </c>
      <c r="E25" s="18" t="n">
        <v>18</v>
      </c>
      <c r="F25" s="10" t="s">
        <v>61</v>
      </c>
    </row>
    <row r="26" customFormat="false" ht="27.75" hidden="false" customHeight="true" outlineLevel="0" collapsed="false">
      <c r="A26" s="8" t="s">
        <v>62</v>
      </c>
      <c r="B26" s="18" t="n">
        <v>92</v>
      </c>
      <c r="C26" s="18" t="n">
        <v>30</v>
      </c>
      <c r="D26" s="18" t="n">
        <v>300</v>
      </c>
      <c r="E26" s="18" t="n">
        <v>10</v>
      </c>
      <c r="F26" s="10" t="s">
        <v>63</v>
      </c>
    </row>
    <row r="27" customFormat="false" ht="27.75" hidden="false" customHeight="true" outlineLevel="0" collapsed="false">
      <c r="A27" s="8" t="s">
        <v>64</v>
      </c>
      <c r="B27" s="18" t="n">
        <v>92</v>
      </c>
      <c r="C27" s="18" t="n">
        <v>25</v>
      </c>
      <c r="D27" s="18" t="n">
        <v>250</v>
      </c>
      <c r="E27" s="18" t="n">
        <v>12</v>
      </c>
      <c r="F27" s="10" t="s">
        <v>65</v>
      </c>
    </row>
  </sheetData>
  <dataValidations count="1">
    <dataValidation allowBlank="false" errorStyle="stop" operator="between" showDropDown="false" showErrorMessage="false" showInputMessage="false" sqref="B9" type="list">
      <formula1>"C172S,C182T"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9" min="6" style="0" width="10"/>
    <col collapsed="false" customWidth="true" hidden="false" outlineLevel="0" max="14" min="10" style="0" width="11"/>
    <col collapsed="false" customWidth="true" hidden="false" outlineLevel="0" max="15" min="15" style="0" width="15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2" min="21" style="0" width="9"/>
    <col collapsed="false" customWidth="true" hidden="false" outlineLevel="0" max="23" min="23" style="0" width="8"/>
    <col collapsed="false" customWidth="true" hidden="false" outlineLevel="0" max="26" min="24" style="0" width="9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1" min="30" style="0" width="9"/>
    <col collapsed="false" customWidth="true" hidden="false" outlineLevel="0" max="32" min="32" style="0" width="11"/>
    <col collapsed="false" customWidth="true" hidden="false" outlineLevel="0" max="33" min="33" style="0" width="34"/>
  </cols>
  <sheetData>
    <row r="1" customFormat="false" ht="42" hidden="false" customHeight="true" outlineLevel="0" collapsed="false">
      <c r="A1" s="20" t="s">
        <v>66</v>
      </c>
      <c r="B1" s="20" t="s">
        <v>67</v>
      </c>
      <c r="C1" s="20" t="s">
        <v>68</v>
      </c>
      <c r="D1" s="20" t="s">
        <v>69</v>
      </c>
      <c r="E1" s="20" t="s">
        <v>70</v>
      </c>
      <c r="F1" s="20" t="s">
        <v>71</v>
      </c>
      <c r="G1" s="20" t="s">
        <v>72</v>
      </c>
      <c r="H1" s="20" t="s">
        <v>55</v>
      </c>
      <c r="I1" s="20" t="s">
        <v>56</v>
      </c>
      <c r="J1" s="20" t="s">
        <v>73</v>
      </c>
      <c r="K1" s="20" t="s">
        <v>74</v>
      </c>
      <c r="L1" s="20" t="s">
        <v>75</v>
      </c>
      <c r="M1" s="20" t="s">
        <v>76</v>
      </c>
      <c r="N1" s="20" t="s">
        <v>77</v>
      </c>
      <c r="O1" s="20" t="s">
        <v>78</v>
      </c>
      <c r="P1" s="20" t="s">
        <v>79</v>
      </c>
      <c r="Q1" s="20" t="s">
        <v>80</v>
      </c>
      <c r="R1" s="20" t="s">
        <v>81</v>
      </c>
      <c r="S1" s="20" t="s">
        <v>82</v>
      </c>
      <c r="T1" s="20" t="s">
        <v>83</v>
      </c>
      <c r="U1" s="20" t="s">
        <v>84</v>
      </c>
      <c r="V1" s="20" t="s">
        <v>85</v>
      </c>
      <c r="W1" s="20" t="s">
        <v>86</v>
      </c>
      <c r="X1" s="20" t="s">
        <v>87</v>
      </c>
      <c r="Y1" s="20" t="s">
        <v>88</v>
      </c>
      <c r="Z1" s="20" t="s">
        <v>89</v>
      </c>
      <c r="AA1" s="20" t="s">
        <v>90</v>
      </c>
      <c r="AB1" s="20" t="s">
        <v>91</v>
      </c>
      <c r="AC1" s="20" t="s">
        <v>92</v>
      </c>
      <c r="AD1" s="20" t="s">
        <v>93</v>
      </c>
      <c r="AE1" s="20" t="s">
        <v>94</v>
      </c>
      <c r="AF1" s="20" t="s">
        <v>95</v>
      </c>
      <c r="AG1" s="20" t="s">
        <v>59</v>
      </c>
    </row>
    <row r="2" customFormat="false" ht="24" hidden="false" customHeight="true" outlineLevel="0" collapsed="false">
      <c r="A2" s="21" t="s">
        <v>96</v>
      </c>
      <c r="B2" s="22" t="s">
        <v>97</v>
      </c>
      <c r="C2" s="22" t="s">
        <v>60</v>
      </c>
      <c r="D2" s="23" t="n">
        <v>495000</v>
      </c>
      <c r="E2" s="24" t="n">
        <v>92</v>
      </c>
      <c r="F2" s="25" t="n">
        <f aca="false">IF(OR($D2="",$E2=""),"",$D2/MAX($E2,0.01))</f>
        <v>5380.4347826087</v>
      </c>
      <c r="G2" s="24" t="n">
        <v>1600</v>
      </c>
      <c r="H2" s="26" t="n">
        <f aca="false">IF($C2="","",INDEX(Assumptions!$B$25:$B$27,MATCH($C2,Assumptions!$A$25:$A$27,0)))</f>
        <v>95</v>
      </c>
      <c r="I2" s="26" t="n">
        <f aca="false">IF($C2="","",INDEX(Assumptions!$C$25:$C$27,MATCH($C2,Assumptions!$A$25:$A$27,0)))</f>
        <v>40</v>
      </c>
      <c r="J2" s="27" t="n">
        <f aca="false">IF(OR($G2="",$C2=""),"",ROUND($G2+120*((($H2-32)*5/9)-(15-1.98*$G2/1000)),0))</f>
        <v>4380</v>
      </c>
      <c r="K2" s="27" t="n">
        <f aca="false">IF(OR($G2="",$C2=""),"",ROUND($G2+120*((($I2-32)*5/9)-(15-1.98*$G2/1000)),0))</f>
        <v>713</v>
      </c>
      <c r="L2" s="27" t="n">
        <f aca="false">IF($J2="","",ROUND(MAX(Assumptions!$B$10,Assumptions!$B$11)*POWER(1+Assumptions!$B$14,MAX($J2,0)/1000)*Assumptions!$B$15*Assumptions!$B$16,0))</f>
        <v>3557</v>
      </c>
      <c r="M2" s="27" t="n">
        <f aca="false">IF($K2="","",ROUND(MAX(Assumptions!$B$10,Assumptions!$B$11)*POWER(1+Assumptions!$B$14,MAX($K2,0)/1000)*Assumptions!$B$15*Assumptions!$B$16,0))</f>
        <v>2508</v>
      </c>
      <c r="N2" s="24" t="n">
        <v>3800</v>
      </c>
      <c r="O2" s="8" t="str">
        <f aca="false">IF(OR($N2="",$L2=""),"",IF($N2&gt;=$L2,"ALL-SEASON",IF($N2&gt;=$M2,"COOL-DAY ONLY","TOO SHORT")))</f>
        <v>ALL-SEASON</v>
      </c>
      <c r="P2" s="28" t="n">
        <v>270</v>
      </c>
      <c r="Q2" s="26" t="n">
        <f aca="false">IF($C2="","",INDEX(Assumptions!$D$25:$D$27,MATCH($C2,Assumptions!$A$25:$A$27,0)))</f>
        <v>270</v>
      </c>
      <c r="R2" s="26" t="n">
        <f aca="false">IF($C2="","",INDEX(Assumptions!$E$25:$E$27,MATCH($C2,Assumptions!$A$25:$A$27,0)))</f>
        <v>18</v>
      </c>
      <c r="S2" s="26" t="n">
        <f aca="false">IF(OR($P2="",$C2=""),"",ROUND($R2*SIN(RADIANS(MIN(MOD(ABS($P2-$Q2),180),180-MOD(ABS($P2-$Q2),180)))),0))</f>
        <v>0</v>
      </c>
      <c r="T2" s="8" t="str">
        <f aca="false">IF($S2="","",IF($S2&lt;=Assumptions!$B$17,"YES","NO"))</f>
        <v>YES</v>
      </c>
      <c r="U2" s="29" t="n">
        <v>0.015</v>
      </c>
      <c r="V2" s="29" t="n">
        <v>0.01</v>
      </c>
      <c r="W2" s="8" t="str">
        <f aca="false">IF(AND($U2="",$V2=""),"",IF(AND(N($U2)&lt;=Assumptions!$B$18,N($V2)&lt;=Assumptions!$B$19),"YES","NO"))</f>
        <v>YES</v>
      </c>
      <c r="X2" s="30" t="n">
        <v>2</v>
      </c>
      <c r="Y2" s="8" t="str">
        <f aca="false">IF($X2="","",IF($X2&lt;=Assumptions!$B$20,"YES","NO"))</f>
        <v>YES</v>
      </c>
      <c r="Z2" s="28" t="n">
        <v>0</v>
      </c>
      <c r="AA2" s="24" t="n">
        <v>0</v>
      </c>
      <c r="AB2" s="28" t="n">
        <v>30</v>
      </c>
      <c r="AC2" s="24" t="n">
        <v>900</v>
      </c>
      <c r="AD2" s="8" t="str">
        <f aca="false">IF($O2="","",IF(AND(IF(N($Z2)&lt;=0,TRUE(),N($AA2)&gt;=Assumptions!$B$21*N($Z2)),IF(N($AB2)&lt;=0,TRUE(),N($AC2)&gt;=Assumptions!$B$21*N($AB2))),"YES","NO"))</f>
        <v>YES</v>
      </c>
      <c r="AE2" s="26" t="n">
        <f aca="false">IF($O2="","",IF($O2="TOO SHORT",0,IF($O2="ALL-SEASON",40,25)+IF($S2="",0,MAX(0,ROUND(20*(1-$S2/Assumptions!$B$17),0)))+IF($W2="YES",15,0)+IF($Y2="YES",10,0)+IF($AD2="YES",15,0)))</f>
        <v>100</v>
      </c>
      <c r="AF2" s="8" t="str">
        <f aca="false">IF($AE2="","",IF($O2="TOO SHORT","REJECT",IF($AE2&gt;=80,"STRONG",IF($AE2&gt;=55,"MARGINAL","WEAK"))))</f>
        <v>STRONG</v>
      </c>
      <c r="AG2" s="21" t="s">
        <v>98</v>
      </c>
    </row>
    <row r="3" customFormat="false" ht="24" hidden="false" customHeight="true" outlineLevel="0" collapsed="false">
      <c r="A3" s="21" t="s">
        <v>99</v>
      </c>
      <c r="B3" s="22" t="s">
        <v>100</v>
      </c>
      <c r="C3" s="22" t="s">
        <v>64</v>
      </c>
      <c r="D3" s="23" t="n">
        <v>175000</v>
      </c>
      <c r="E3" s="24" t="n">
        <v>160</v>
      </c>
      <c r="F3" s="25" t="n">
        <f aca="false">IF(OR($D3="",$E3=""),"",$D3/MAX($E3,0.01))</f>
        <v>1093.75</v>
      </c>
      <c r="G3" s="24" t="n">
        <v>4320</v>
      </c>
      <c r="H3" s="26" t="n">
        <f aca="false">IF($C3="","",INDEX(Assumptions!$B$25:$B$27,MATCH($C3,Assumptions!$A$25:$A$27,0)))</f>
        <v>92</v>
      </c>
      <c r="I3" s="26" t="n">
        <f aca="false">IF($C3="","",INDEX(Assumptions!$C$25:$C$27,MATCH($C3,Assumptions!$A$25:$A$27,0)))</f>
        <v>25</v>
      </c>
      <c r="J3" s="27" t="n">
        <f aca="false">IF(OR($G3="",$C3=""),"",ROUND($G3+120*((($H3-32)*5/9)-(15-1.98*$G3/1000)),0))</f>
        <v>7546</v>
      </c>
      <c r="K3" s="27" t="n">
        <f aca="false">IF(OR($G3="",$C3=""),"",ROUND($G3+120*((($I3-32)*5/9)-(15-1.98*$G3/1000)),0))</f>
        <v>3080</v>
      </c>
      <c r="L3" s="27" t="n">
        <f aca="false">IF($J3="","",ROUND(MAX(Assumptions!$B$10,Assumptions!$B$11)*POWER(1+Assumptions!$B$14,MAX($J3,0)/1000)*Assumptions!$B$15*Assumptions!$B$16,0))</f>
        <v>4810</v>
      </c>
      <c r="M3" s="27" t="n">
        <f aca="false">IF($K3="","",ROUND(MAX(Assumptions!$B$10,Assumptions!$B$11)*POWER(1+Assumptions!$B$14,MAX($K3,0)/1000)*Assumptions!$B$15*Assumptions!$B$16,0))</f>
        <v>3143</v>
      </c>
      <c r="N3" s="24" t="n">
        <v>4000</v>
      </c>
      <c r="O3" s="8" t="str">
        <f aca="false">IF(OR($N3="",$L3=""),"",IF($N3&gt;=$L3,"ALL-SEASON",IF($N3&gt;=$M3,"COOL-DAY ONLY","TOO SHORT")))</f>
        <v>COOL-DAY ONLY</v>
      </c>
      <c r="P3" s="28" t="n">
        <v>250</v>
      </c>
      <c r="Q3" s="26" t="n">
        <f aca="false">IF($C3="","",INDEX(Assumptions!$D$25:$D$27,MATCH($C3,Assumptions!$A$25:$A$27,0)))</f>
        <v>250</v>
      </c>
      <c r="R3" s="26" t="n">
        <f aca="false">IF($C3="","",INDEX(Assumptions!$E$25:$E$27,MATCH($C3,Assumptions!$A$25:$A$27,0)))</f>
        <v>12</v>
      </c>
      <c r="S3" s="26" t="n">
        <f aca="false">IF(OR($P3="",$C3=""),"",ROUND($R3*SIN(RADIANS(MIN(MOD(ABS($P3-$Q3),180),180-MOD(ABS($P3-$Q3),180)))),0))</f>
        <v>0</v>
      </c>
      <c r="T3" s="8" t="str">
        <f aca="false">IF($S3="","",IF($S3&lt;=Assumptions!$B$17,"YES","NO"))</f>
        <v>YES</v>
      </c>
      <c r="U3" s="29" t="n">
        <v>0.01</v>
      </c>
      <c r="V3" s="29" t="n">
        <v>0.005</v>
      </c>
      <c r="W3" s="8" t="str">
        <f aca="false">IF(AND($U3="",$V3=""),"",IF(AND(N($U3)&lt;=Assumptions!$B$18,N($V3)&lt;=Assumptions!$B$19),"YES","NO"))</f>
        <v>YES</v>
      </c>
      <c r="X3" s="30" t="n">
        <v>1.5</v>
      </c>
      <c r="Y3" s="8" t="str">
        <f aca="false">IF($X3="","",IF($X3&lt;=Assumptions!$B$20,"YES","NO"))</f>
        <v>YES</v>
      </c>
      <c r="Z3" s="28" t="n">
        <v>0</v>
      </c>
      <c r="AA3" s="24" t="n">
        <v>0</v>
      </c>
      <c r="AB3" s="28" t="n">
        <v>0</v>
      </c>
      <c r="AC3" s="24" t="n">
        <v>0</v>
      </c>
      <c r="AD3" s="8" t="str">
        <f aca="false">IF($O3="","",IF(AND(IF(N($Z3)&lt;=0,TRUE(),N($AA3)&gt;=Assumptions!$B$21*N($Z3)),IF(N($AB3)&lt;=0,TRUE(),N($AC3)&gt;=Assumptions!$B$21*N($AB3))),"YES","NO"))</f>
        <v>YES</v>
      </c>
      <c r="AE3" s="26" t="n">
        <f aca="false">IF($O3="","",IF($O3="TOO SHORT",0,IF($O3="ALL-SEASON",40,25)+IF($S3="",0,MAX(0,ROUND(20*(1-$S3/Assumptions!$B$17),0)))+IF($W3="YES",15,0)+IF($Y3="YES",10,0)+IF($AD3="YES",15,0)))</f>
        <v>85</v>
      </c>
      <c r="AF3" s="8" t="str">
        <f aca="false">IF($AE3="","",IF($O3="TOO SHORT","REJECT",IF($AE3&gt;=80,"STRONG",IF($AE3&gt;=55,"MARGINAL","WEAK"))))</f>
        <v>STRONG</v>
      </c>
      <c r="AG3" s="21" t="s">
        <v>101</v>
      </c>
    </row>
    <row r="4" customFormat="false" ht="24" hidden="false" customHeight="true" outlineLevel="0" collapsed="false">
      <c r="A4" s="21" t="s">
        <v>102</v>
      </c>
      <c r="B4" s="22" t="s">
        <v>97</v>
      </c>
      <c r="C4" s="22" t="s">
        <v>62</v>
      </c>
      <c r="D4" s="23" t="n">
        <v>675000</v>
      </c>
      <c r="E4" s="24" t="n">
        <v>20</v>
      </c>
      <c r="F4" s="25" t="n">
        <f aca="false">IF(OR($D4="",$E4=""),"",$D4/MAX($E4,0.01))</f>
        <v>33750</v>
      </c>
      <c r="G4" s="24" t="n">
        <v>3450</v>
      </c>
      <c r="H4" s="26" t="n">
        <f aca="false">IF($C4="","",INDEX(Assumptions!$B$25:$B$27,MATCH($C4,Assumptions!$A$25:$A$27,0)))</f>
        <v>92</v>
      </c>
      <c r="I4" s="26" t="n">
        <f aca="false">IF($C4="","",INDEX(Assumptions!$C$25:$C$27,MATCH($C4,Assumptions!$A$25:$A$27,0)))</f>
        <v>30</v>
      </c>
      <c r="J4" s="27" t="n">
        <f aca="false">IF(OR($G4="",$C4=""),"",ROUND($G4+120*((($H4-32)*5/9)-(15-1.98*$G4/1000)),0))</f>
        <v>6470</v>
      </c>
      <c r="K4" s="27" t="n">
        <f aca="false">IF(OR($G4="",$C4=""),"",ROUND($G4+120*((($I4-32)*5/9)-(15-1.98*$G4/1000)),0))</f>
        <v>2336</v>
      </c>
      <c r="L4" s="27" t="n">
        <f aca="false">IF($J4="","",ROUND(MAX(Assumptions!$B$10,Assumptions!$B$11)*POWER(1+Assumptions!$B$14,MAX($J4,0)/1000)*Assumptions!$B$15*Assumptions!$B$16,0))</f>
        <v>4341</v>
      </c>
      <c r="M4" s="27" t="n">
        <f aca="false">IF($K4="","",ROUND(MAX(Assumptions!$B$10,Assumptions!$B$11)*POWER(1+Assumptions!$B$14,MAX($K4,0)/1000)*Assumptions!$B$15*Assumptions!$B$16,0))</f>
        <v>2927</v>
      </c>
      <c r="N4" s="24" t="n">
        <v>1200</v>
      </c>
      <c r="O4" s="8" t="str">
        <f aca="false">IF(OR($N4="",$L4=""),"",IF($N4&gt;=$L4,"ALL-SEASON",IF($N4&gt;=$M4,"COOL-DAY ONLY","TOO SHORT")))</f>
        <v>TOO SHORT</v>
      </c>
      <c r="P4" s="28" t="n">
        <v>300</v>
      </c>
      <c r="Q4" s="26" t="n">
        <f aca="false">IF($C4="","",INDEX(Assumptions!$D$25:$D$27,MATCH($C4,Assumptions!$A$25:$A$27,0)))</f>
        <v>300</v>
      </c>
      <c r="R4" s="26" t="n">
        <f aca="false">IF($C4="","",INDEX(Assumptions!$E$25:$E$27,MATCH($C4,Assumptions!$A$25:$A$27,0)))</f>
        <v>10</v>
      </c>
      <c r="S4" s="26" t="n">
        <f aca="false">IF(OR($P4="",$C4=""),"",ROUND($R4*SIN(RADIANS(MIN(MOD(ABS($P4-$Q4),180),180-MOD(ABS($P4-$Q4),180)))),0))</f>
        <v>0</v>
      </c>
      <c r="T4" s="8" t="str">
        <f aca="false">IF($S4="","",IF($S4&lt;=Assumptions!$B$17,"YES","NO"))</f>
        <v>YES</v>
      </c>
      <c r="U4" s="29" t="n">
        <v>0.03</v>
      </c>
      <c r="V4" s="29" t="n">
        <v>0.02</v>
      </c>
      <c r="W4" s="8" t="str">
        <f aca="false">IF(AND($U4="",$V4=""),"",IF(AND(N($U4)&lt;=Assumptions!$B$18,N($V4)&lt;=Assumptions!$B$19),"YES","NO"))</f>
        <v>NO</v>
      </c>
      <c r="X4" s="30" t="n">
        <v>4</v>
      </c>
      <c r="Y4" s="8" t="str">
        <f aca="false">IF($X4="","",IF($X4&lt;=Assumptions!$B$20,"YES","NO"))</f>
        <v>NO</v>
      </c>
      <c r="Z4" s="28" t="n">
        <v>60</v>
      </c>
      <c r="AA4" s="24" t="n">
        <v>400</v>
      </c>
      <c r="AB4" s="28" t="n">
        <v>0</v>
      </c>
      <c r="AC4" s="24" t="n">
        <v>0</v>
      </c>
      <c r="AD4" s="8" t="str">
        <f aca="false">IF($O4="","",IF(AND(IF(N($Z4)&lt;=0,TRUE(),N($AA4)&gt;=Assumptions!$B$21*N($Z4)),IF(N($AB4)&lt;=0,TRUE(),N($AC4)&gt;=Assumptions!$B$21*N($AB4))),"YES","NO"))</f>
        <v>NO</v>
      </c>
      <c r="AE4" s="26" t="n">
        <f aca="false">IF($O4="","",IF($O4="TOO SHORT",0,IF($O4="ALL-SEASON",40,25)+IF($S4="",0,MAX(0,ROUND(20*(1-$S4/Assumptions!$B$17),0)))+IF($W4="YES",15,0)+IF($Y4="YES",10,0)+IF($AD4="YES",15,0)))</f>
        <v>0</v>
      </c>
      <c r="AF4" s="8" t="str">
        <f aca="false">IF($AE4="","",IF($O4="TOO SHORT","REJECT",IF($AE4&gt;=80,"STRONG",IF($AE4&gt;=55,"MARGINAL","WEAK"))))</f>
        <v>REJECT</v>
      </c>
      <c r="AG4" s="21" t="s">
        <v>103</v>
      </c>
    </row>
    <row r="5" customFormat="false" ht="15" hidden="false" customHeight="false" outlineLevel="0" collapsed="false">
      <c r="A5" s="12"/>
      <c r="B5" s="12"/>
      <c r="C5" s="12"/>
      <c r="D5" s="31"/>
      <c r="E5" s="9"/>
      <c r="F5" s="25" t="str">
        <f aca="false">IF(OR($D5="",$E5=""),"",$D5/MAX($E5,0.01))</f>
        <v/>
      </c>
      <c r="G5" s="9"/>
      <c r="H5" s="26" t="str">
        <f aca="false">IF($C5="","",INDEX(Assumptions!$B$25:$B$27,MATCH($C5,Assumptions!$A$25:$A$27,0)))</f>
        <v/>
      </c>
      <c r="I5" s="26" t="str">
        <f aca="false">IF($C5="","",INDEX(Assumptions!$C$25:$C$27,MATCH($C5,Assumptions!$A$25:$A$27,0)))</f>
        <v/>
      </c>
      <c r="J5" s="27" t="str">
        <f aca="false">IF(OR($G5="",$C5=""),"",ROUND($G5+120*((($H5-32)*5/9)-(15-1.98*$G5/1000)),0))</f>
        <v/>
      </c>
      <c r="K5" s="27" t="str">
        <f aca="false">IF(OR($G5="",$C5=""),"",ROUND($G5+120*((($I5-32)*5/9)-(15-1.98*$G5/1000)),0))</f>
        <v/>
      </c>
      <c r="L5" s="27" t="str">
        <f aca="false">IF($J5="","",ROUND(MAX(Assumptions!$B$10,Assumptions!$B$11)*POWER(1+Assumptions!$B$14,MAX($J5,0)/1000)*Assumptions!$B$15*Assumptions!$B$16,0))</f>
        <v/>
      </c>
      <c r="M5" s="27" t="str">
        <f aca="false">IF($K5="","",ROUND(MAX(Assumptions!$B$10,Assumptions!$B$11)*POWER(1+Assumptions!$B$14,MAX($K5,0)/1000)*Assumptions!$B$15*Assumptions!$B$16,0))</f>
        <v/>
      </c>
      <c r="N5" s="9"/>
      <c r="O5" s="8" t="str">
        <f aca="false">IF(OR($N5="",$L5=""),"",IF($N5&gt;=$L5,"ALL-SEASON",IF($N5&gt;=$M5,"COOL-DAY ONLY","TOO SHORT")))</f>
        <v/>
      </c>
      <c r="P5" s="18"/>
      <c r="Q5" s="26" t="str">
        <f aca="false">IF($C5="","",INDEX(Assumptions!$D$25:$D$27,MATCH($C5,Assumptions!$A$25:$A$27,0)))</f>
        <v/>
      </c>
      <c r="R5" s="26" t="str">
        <f aca="false">IF($C5="","",INDEX(Assumptions!$E$25:$E$27,MATCH($C5,Assumptions!$A$25:$A$27,0)))</f>
        <v/>
      </c>
      <c r="S5" s="26" t="str">
        <f aca="false">IF(OR($P5="",$C5=""),"",ROUND($R5*SIN(RADIANS(MIN(MOD(ABS($P5-$Q5),180),180-MOD(ABS($P5-$Q5),180)))),0))</f>
        <v/>
      </c>
      <c r="T5" s="8" t="str">
        <f aca="false">IF($S5="","",IF($S5&lt;=Assumptions!$B$17,"YES","NO"))</f>
        <v/>
      </c>
      <c r="U5" s="19"/>
      <c r="V5" s="19"/>
      <c r="W5" s="8" t="str">
        <f aca="false">IF(AND($U5="",$V5=""),"",IF(AND(N($U5)&lt;=Assumptions!$B$18,N($V5)&lt;=Assumptions!$B$19),"YES","NO"))</f>
        <v/>
      </c>
      <c r="X5" s="32"/>
      <c r="Y5" s="8" t="str">
        <f aca="false">IF($X5="","",IF($X5&lt;=Assumptions!$B$20,"YES","NO"))</f>
        <v/>
      </c>
      <c r="Z5" s="18"/>
      <c r="AA5" s="9"/>
      <c r="AB5" s="18"/>
      <c r="AC5" s="9"/>
      <c r="AD5" s="8" t="str">
        <f aca="false">IF($O5="","",IF(AND(IF(N($Z5)&lt;=0,TRUE(),N($AA5)&gt;=Assumptions!$B$21*N($Z5)),IF(N($AB5)&lt;=0,TRUE(),N($AC5)&gt;=Assumptions!$B$21*N($AB5))),"YES","NO"))</f>
        <v/>
      </c>
      <c r="AE5" s="26" t="str">
        <f aca="false">IF($O5="","",IF($O5="TOO SHORT",0,IF($O5="ALL-SEASON",40,25)+IF($S5="",0,MAX(0,ROUND(20*(1-$S5/Assumptions!$B$17),0)))+IF($W5="YES",15,0)+IF($Y5="YES",10,0)+IF($AD5="YES",15,0)))</f>
        <v/>
      </c>
      <c r="AF5" s="8" t="str">
        <f aca="false">IF($AE5="","",IF($O5="TOO SHORT","REJECT",IF($AE5&gt;=80,"STRONG",IF($AE5&gt;=55,"MARGINAL","WEAK"))))</f>
        <v/>
      </c>
      <c r="AG5" s="12"/>
    </row>
    <row r="6" customFormat="false" ht="15" hidden="false" customHeight="false" outlineLevel="0" collapsed="false">
      <c r="A6" s="12"/>
      <c r="B6" s="12"/>
      <c r="C6" s="12"/>
      <c r="D6" s="31"/>
      <c r="E6" s="9"/>
      <c r="F6" s="25" t="str">
        <f aca="false">IF(OR($D6="",$E6=""),"",$D6/MAX($E6,0.01))</f>
        <v/>
      </c>
      <c r="G6" s="9"/>
      <c r="H6" s="26" t="str">
        <f aca="false">IF($C6="","",INDEX(Assumptions!$B$25:$B$27,MATCH($C6,Assumptions!$A$25:$A$27,0)))</f>
        <v/>
      </c>
      <c r="I6" s="26" t="str">
        <f aca="false">IF($C6="","",INDEX(Assumptions!$C$25:$C$27,MATCH($C6,Assumptions!$A$25:$A$27,0)))</f>
        <v/>
      </c>
      <c r="J6" s="27" t="str">
        <f aca="false">IF(OR($G6="",$C6=""),"",ROUND($G6+120*((($H6-32)*5/9)-(15-1.98*$G6/1000)),0))</f>
        <v/>
      </c>
      <c r="K6" s="27" t="str">
        <f aca="false">IF(OR($G6="",$C6=""),"",ROUND($G6+120*((($I6-32)*5/9)-(15-1.98*$G6/1000)),0))</f>
        <v/>
      </c>
      <c r="L6" s="27" t="str">
        <f aca="false">IF($J6="","",ROUND(MAX(Assumptions!$B$10,Assumptions!$B$11)*POWER(1+Assumptions!$B$14,MAX($J6,0)/1000)*Assumptions!$B$15*Assumptions!$B$16,0))</f>
        <v/>
      </c>
      <c r="M6" s="27" t="str">
        <f aca="false">IF($K6="","",ROUND(MAX(Assumptions!$B$10,Assumptions!$B$11)*POWER(1+Assumptions!$B$14,MAX($K6,0)/1000)*Assumptions!$B$15*Assumptions!$B$16,0))</f>
        <v/>
      </c>
      <c r="N6" s="9"/>
      <c r="O6" s="8" t="str">
        <f aca="false">IF(OR($N6="",$L6=""),"",IF($N6&gt;=$L6,"ALL-SEASON",IF($N6&gt;=$M6,"COOL-DAY ONLY","TOO SHORT")))</f>
        <v/>
      </c>
      <c r="P6" s="18"/>
      <c r="Q6" s="26" t="str">
        <f aca="false">IF($C6="","",INDEX(Assumptions!$D$25:$D$27,MATCH($C6,Assumptions!$A$25:$A$27,0)))</f>
        <v/>
      </c>
      <c r="R6" s="26" t="str">
        <f aca="false">IF($C6="","",INDEX(Assumptions!$E$25:$E$27,MATCH($C6,Assumptions!$A$25:$A$27,0)))</f>
        <v/>
      </c>
      <c r="S6" s="26" t="str">
        <f aca="false">IF(OR($P6="",$C6=""),"",ROUND($R6*SIN(RADIANS(MIN(MOD(ABS($P6-$Q6),180),180-MOD(ABS($P6-$Q6),180)))),0))</f>
        <v/>
      </c>
      <c r="T6" s="8" t="str">
        <f aca="false">IF($S6="","",IF($S6&lt;=Assumptions!$B$17,"YES","NO"))</f>
        <v/>
      </c>
      <c r="U6" s="19"/>
      <c r="V6" s="19"/>
      <c r="W6" s="8" t="str">
        <f aca="false">IF(AND($U6="",$V6=""),"",IF(AND(N($U6)&lt;=Assumptions!$B$18,N($V6)&lt;=Assumptions!$B$19),"YES","NO"))</f>
        <v/>
      </c>
      <c r="X6" s="32"/>
      <c r="Y6" s="8" t="str">
        <f aca="false">IF($X6="","",IF($X6&lt;=Assumptions!$B$20,"YES","NO"))</f>
        <v/>
      </c>
      <c r="Z6" s="18"/>
      <c r="AA6" s="9"/>
      <c r="AB6" s="18"/>
      <c r="AC6" s="9"/>
      <c r="AD6" s="8" t="str">
        <f aca="false">IF($O6="","",IF(AND(IF(N($Z6)&lt;=0,TRUE(),N($AA6)&gt;=Assumptions!$B$21*N($Z6)),IF(N($AB6)&lt;=0,TRUE(),N($AC6)&gt;=Assumptions!$B$21*N($AB6))),"YES","NO"))</f>
        <v/>
      </c>
      <c r="AE6" s="26" t="str">
        <f aca="false">IF($O6="","",IF($O6="TOO SHORT",0,IF($O6="ALL-SEASON",40,25)+IF($S6="",0,MAX(0,ROUND(20*(1-$S6/Assumptions!$B$17),0)))+IF($W6="YES",15,0)+IF($Y6="YES",10,0)+IF($AD6="YES",15,0)))</f>
        <v/>
      </c>
      <c r="AF6" s="8" t="str">
        <f aca="false">IF($AE6="","",IF($O6="TOO SHORT","REJECT",IF($AE6&gt;=80,"STRONG",IF($AE6&gt;=55,"MARGINAL","WEAK"))))</f>
        <v/>
      </c>
      <c r="AG6" s="12"/>
    </row>
    <row r="7" customFormat="false" ht="15" hidden="false" customHeight="false" outlineLevel="0" collapsed="false">
      <c r="A7" s="12"/>
      <c r="B7" s="12"/>
      <c r="C7" s="12"/>
      <c r="D7" s="31"/>
      <c r="E7" s="9"/>
      <c r="F7" s="25" t="str">
        <f aca="false">IF(OR($D7="",$E7=""),"",$D7/MAX($E7,0.01))</f>
        <v/>
      </c>
      <c r="G7" s="9"/>
      <c r="H7" s="26" t="str">
        <f aca="false">IF($C7="","",INDEX(Assumptions!$B$25:$B$27,MATCH($C7,Assumptions!$A$25:$A$27,0)))</f>
        <v/>
      </c>
      <c r="I7" s="26" t="str">
        <f aca="false">IF($C7="","",INDEX(Assumptions!$C$25:$C$27,MATCH($C7,Assumptions!$A$25:$A$27,0)))</f>
        <v/>
      </c>
      <c r="J7" s="27" t="str">
        <f aca="false">IF(OR($G7="",$C7=""),"",ROUND($G7+120*((($H7-32)*5/9)-(15-1.98*$G7/1000)),0))</f>
        <v/>
      </c>
      <c r="K7" s="27" t="str">
        <f aca="false">IF(OR($G7="",$C7=""),"",ROUND($G7+120*((($I7-32)*5/9)-(15-1.98*$G7/1000)),0))</f>
        <v/>
      </c>
      <c r="L7" s="27" t="str">
        <f aca="false">IF($J7="","",ROUND(MAX(Assumptions!$B$10,Assumptions!$B$11)*POWER(1+Assumptions!$B$14,MAX($J7,0)/1000)*Assumptions!$B$15*Assumptions!$B$16,0))</f>
        <v/>
      </c>
      <c r="M7" s="27" t="str">
        <f aca="false">IF($K7="","",ROUND(MAX(Assumptions!$B$10,Assumptions!$B$11)*POWER(1+Assumptions!$B$14,MAX($K7,0)/1000)*Assumptions!$B$15*Assumptions!$B$16,0))</f>
        <v/>
      </c>
      <c r="N7" s="9"/>
      <c r="O7" s="8" t="str">
        <f aca="false">IF(OR($N7="",$L7=""),"",IF($N7&gt;=$L7,"ALL-SEASON",IF($N7&gt;=$M7,"COOL-DAY ONLY","TOO SHORT")))</f>
        <v/>
      </c>
      <c r="P7" s="18"/>
      <c r="Q7" s="26" t="str">
        <f aca="false">IF($C7="","",INDEX(Assumptions!$D$25:$D$27,MATCH($C7,Assumptions!$A$25:$A$27,0)))</f>
        <v/>
      </c>
      <c r="R7" s="26" t="str">
        <f aca="false">IF($C7="","",INDEX(Assumptions!$E$25:$E$27,MATCH($C7,Assumptions!$A$25:$A$27,0)))</f>
        <v/>
      </c>
      <c r="S7" s="26" t="str">
        <f aca="false">IF(OR($P7="",$C7=""),"",ROUND($R7*SIN(RADIANS(MIN(MOD(ABS($P7-$Q7),180),180-MOD(ABS($P7-$Q7),180)))),0))</f>
        <v/>
      </c>
      <c r="T7" s="8" t="str">
        <f aca="false">IF($S7="","",IF($S7&lt;=Assumptions!$B$17,"YES","NO"))</f>
        <v/>
      </c>
      <c r="U7" s="19"/>
      <c r="V7" s="19"/>
      <c r="W7" s="8" t="str">
        <f aca="false">IF(AND($U7="",$V7=""),"",IF(AND(N($U7)&lt;=Assumptions!$B$18,N($V7)&lt;=Assumptions!$B$19),"YES","NO"))</f>
        <v/>
      </c>
      <c r="X7" s="32"/>
      <c r="Y7" s="8" t="str">
        <f aca="false">IF($X7="","",IF($X7&lt;=Assumptions!$B$20,"YES","NO"))</f>
        <v/>
      </c>
      <c r="Z7" s="18"/>
      <c r="AA7" s="9"/>
      <c r="AB7" s="18"/>
      <c r="AC7" s="9"/>
      <c r="AD7" s="8" t="str">
        <f aca="false">IF($O7="","",IF(AND(IF(N($Z7)&lt;=0,TRUE(),N($AA7)&gt;=Assumptions!$B$21*N($Z7)),IF(N($AB7)&lt;=0,TRUE(),N($AC7)&gt;=Assumptions!$B$21*N($AB7))),"YES","NO"))</f>
        <v/>
      </c>
      <c r="AE7" s="26" t="str">
        <f aca="false">IF($O7="","",IF($O7="TOO SHORT",0,IF($O7="ALL-SEASON",40,25)+IF($S7="",0,MAX(0,ROUND(20*(1-$S7/Assumptions!$B$17),0)))+IF($W7="YES",15,0)+IF($Y7="YES",10,0)+IF($AD7="YES",15,0)))</f>
        <v/>
      </c>
      <c r="AF7" s="8" t="str">
        <f aca="false">IF($AE7="","",IF($O7="TOO SHORT","REJECT",IF($AE7&gt;=80,"STRONG",IF($AE7&gt;=55,"MARGINAL","WEAK"))))</f>
        <v/>
      </c>
      <c r="AG7" s="12"/>
    </row>
    <row r="8" customFormat="false" ht="15" hidden="false" customHeight="false" outlineLevel="0" collapsed="false">
      <c r="A8" s="12"/>
      <c r="B8" s="12"/>
      <c r="C8" s="12"/>
      <c r="D8" s="31"/>
      <c r="E8" s="9"/>
      <c r="F8" s="25" t="str">
        <f aca="false">IF(OR($D8="",$E8=""),"",$D8/MAX($E8,0.01))</f>
        <v/>
      </c>
      <c r="G8" s="9"/>
      <c r="H8" s="26" t="str">
        <f aca="false">IF($C8="","",INDEX(Assumptions!$B$25:$B$27,MATCH($C8,Assumptions!$A$25:$A$27,0)))</f>
        <v/>
      </c>
      <c r="I8" s="26" t="str">
        <f aca="false">IF($C8="","",INDEX(Assumptions!$C$25:$C$27,MATCH($C8,Assumptions!$A$25:$A$27,0)))</f>
        <v/>
      </c>
      <c r="J8" s="27" t="str">
        <f aca="false">IF(OR($G8="",$C8=""),"",ROUND($G8+120*((($H8-32)*5/9)-(15-1.98*$G8/1000)),0))</f>
        <v/>
      </c>
      <c r="K8" s="27" t="str">
        <f aca="false">IF(OR($G8="",$C8=""),"",ROUND($G8+120*((($I8-32)*5/9)-(15-1.98*$G8/1000)),0))</f>
        <v/>
      </c>
      <c r="L8" s="27" t="str">
        <f aca="false">IF($J8="","",ROUND(MAX(Assumptions!$B$10,Assumptions!$B$11)*POWER(1+Assumptions!$B$14,MAX($J8,0)/1000)*Assumptions!$B$15*Assumptions!$B$16,0))</f>
        <v/>
      </c>
      <c r="M8" s="27" t="str">
        <f aca="false">IF($K8="","",ROUND(MAX(Assumptions!$B$10,Assumptions!$B$11)*POWER(1+Assumptions!$B$14,MAX($K8,0)/1000)*Assumptions!$B$15*Assumptions!$B$16,0))</f>
        <v/>
      </c>
      <c r="N8" s="9"/>
      <c r="O8" s="8" t="str">
        <f aca="false">IF(OR($N8="",$L8=""),"",IF($N8&gt;=$L8,"ALL-SEASON",IF($N8&gt;=$M8,"COOL-DAY ONLY","TOO SHORT")))</f>
        <v/>
      </c>
      <c r="P8" s="18"/>
      <c r="Q8" s="26" t="str">
        <f aca="false">IF($C8="","",INDEX(Assumptions!$D$25:$D$27,MATCH($C8,Assumptions!$A$25:$A$27,0)))</f>
        <v/>
      </c>
      <c r="R8" s="26" t="str">
        <f aca="false">IF($C8="","",INDEX(Assumptions!$E$25:$E$27,MATCH($C8,Assumptions!$A$25:$A$27,0)))</f>
        <v/>
      </c>
      <c r="S8" s="26" t="str">
        <f aca="false">IF(OR($P8="",$C8=""),"",ROUND($R8*SIN(RADIANS(MIN(MOD(ABS($P8-$Q8),180),180-MOD(ABS($P8-$Q8),180)))),0))</f>
        <v/>
      </c>
      <c r="T8" s="8" t="str">
        <f aca="false">IF($S8="","",IF($S8&lt;=Assumptions!$B$17,"YES","NO"))</f>
        <v/>
      </c>
      <c r="U8" s="19"/>
      <c r="V8" s="19"/>
      <c r="W8" s="8" t="str">
        <f aca="false">IF(AND($U8="",$V8=""),"",IF(AND(N($U8)&lt;=Assumptions!$B$18,N($V8)&lt;=Assumptions!$B$19),"YES","NO"))</f>
        <v/>
      </c>
      <c r="X8" s="32"/>
      <c r="Y8" s="8" t="str">
        <f aca="false">IF($X8="","",IF($X8&lt;=Assumptions!$B$20,"YES","NO"))</f>
        <v/>
      </c>
      <c r="Z8" s="18"/>
      <c r="AA8" s="9"/>
      <c r="AB8" s="18"/>
      <c r="AC8" s="9"/>
      <c r="AD8" s="8" t="str">
        <f aca="false">IF($O8="","",IF(AND(IF(N($Z8)&lt;=0,TRUE(),N($AA8)&gt;=Assumptions!$B$21*N($Z8)),IF(N($AB8)&lt;=0,TRUE(),N($AC8)&gt;=Assumptions!$B$21*N($AB8))),"YES","NO"))</f>
        <v/>
      </c>
      <c r="AE8" s="26" t="str">
        <f aca="false">IF($O8="","",IF($O8="TOO SHORT",0,IF($O8="ALL-SEASON",40,25)+IF($S8="",0,MAX(0,ROUND(20*(1-$S8/Assumptions!$B$17),0)))+IF($W8="YES",15,0)+IF($Y8="YES",10,0)+IF($AD8="YES",15,0)))</f>
        <v/>
      </c>
      <c r="AF8" s="8" t="str">
        <f aca="false">IF($AE8="","",IF($O8="TOO SHORT","REJECT",IF($AE8&gt;=80,"STRONG",IF($AE8&gt;=55,"MARGINAL","WEAK"))))</f>
        <v/>
      </c>
      <c r="AG8" s="12"/>
    </row>
    <row r="9" customFormat="false" ht="15" hidden="false" customHeight="false" outlineLevel="0" collapsed="false">
      <c r="A9" s="12"/>
      <c r="B9" s="12"/>
      <c r="C9" s="12"/>
      <c r="D9" s="31"/>
      <c r="E9" s="9"/>
      <c r="F9" s="25" t="str">
        <f aca="false">IF(OR($D9="",$E9=""),"",$D9/MAX($E9,0.01))</f>
        <v/>
      </c>
      <c r="G9" s="9"/>
      <c r="H9" s="26" t="str">
        <f aca="false">IF($C9="","",INDEX(Assumptions!$B$25:$B$27,MATCH($C9,Assumptions!$A$25:$A$27,0)))</f>
        <v/>
      </c>
      <c r="I9" s="26" t="str">
        <f aca="false">IF($C9="","",INDEX(Assumptions!$C$25:$C$27,MATCH($C9,Assumptions!$A$25:$A$27,0)))</f>
        <v/>
      </c>
      <c r="J9" s="27" t="str">
        <f aca="false">IF(OR($G9="",$C9=""),"",ROUND($G9+120*((($H9-32)*5/9)-(15-1.98*$G9/1000)),0))</f>
        <v/>
      </c>
      <c r="K9" s="27" t="str">
        <f aca="false">IF(OR($G9="",$C9=""),"",ROUND($G9+120*((($I9-32)*5/9)-(15-1.98*$G9/1000)),0))</f>
        <v/>
      </c>
      <c r="L9" s="27" t="str">
        <f aca="false">IF($J9="","",ROUND(MAX(Assumptions!$B$10,Assumptions!$B$11)*POWER(1+Assumptions!$B$14,MAX($J9,0)/1000)*Assumptions!$B$15*Assumptions!$B$16,0))</f>
        <v/>
      </c>
      <c r="M9" s="27" t="str">
        <f aca="false">IF($K9="","",ROUND(MAX(Assumptions!$B$10,Assumptions!$B$11)*POWER(1+Assumptions!$B$14,MAX($K9,0)/1000)*Assumptions!$B$15*Assumptions!$B$16,0))</f>
        <v/>
      </c>
      <c r="N9" s="9"/>
      <c r="O9" s="8" t="str">
        <f aca="false">IF(OR($N9="",$L9=""),"",IF($N9&gt;=$L9,"ALL-SEASON",IF($N9&gt;=$M9,"COOL-DAY ONLY","TOO SHORT")))</f>
        <v/>
      </c>
      <c r="P9" s="18"/>
      <c r="Q9" s="26" t="str">
        <f aca="false">IF($C9="","",INDEX(Assumptions!$D$25:$D$27,MATCH($C9,Assumptions!$A$25:$A$27,0)))</f>
        <v/>
      </c>
      <c r="R9" s="26" t="str">
        <f aca="false">IF($C9="","",INDEX(Assumptions!$E$25:$E$27,MATCH($C9,Assumptions!$A$25:$A$27,0)))</f>
        <v/>
      </c>
      <c r="S9" s="26" t="str">
        <f aca="false">IF(OR($P9="",$C9=""),"",ROUND($R9*SIN(RADIANS(MIN(MOD(ABS($P9-$Q9),180),180-MOD(ABS($P9-$Q9),180)))),0))</f>
        <v/>
      </c>
      <c r="T9" s="8" t="str">
        <f aca="false">IF($S9="","",IF($S9&lt;=Assumptions!$B$17,"YES","NO"))</f>
        <v/>
      </c>
      <c r="U9" s="19"/>
      <c r="V9" s="19"/>
      <c r="W9" s="8" t="str">
        <f aca="false">IF(AND($U9="",$V9=""),"",IF(AND(N($U9)&lt;=Assumptions!$B$18,N($V9)&lt;=Assumptions!$B$19),"YES","NO"))</f>
        <v/>
      </c>
      <c r="X9" s="32"/>
      <c r="Y9" s="8" t="str">
        <f aca="false">IF($X9="","",IF($X9&lt;=Assumptions!$B$20,"YES","NO"))</f>
        <v/>
      </c>
      <c r="Z9" s="18"/>
      <c r="AA9" s="9"/>
      <c r="AB9" s="18"/>
      <c r="AC9" s="9"/>
      <c r="AD9" s="8" t="str">
        <f aca="false">IF($O9="","",IF(AND(IF(N($Z9)&lt;=0,TRUE(),N($AA9)&gt;=Assumptions!$B$21*N($Z9)),IF(N($AB9)&lt;=0,TRUE(),N($AC9)&gt;=Assumptions!$B$21*N($AB9))),"YES","NO"))</f>
        <v/>
      </c>
      <c r="AE9" s="26" t="str">
        <f aca="false">IF($O9="","",IF($O9="TOO SHORT",0,IF($O9="ALL-SEASON",40,25)+IF($S9="",0,MAX(0,ROUND(20*(1-$S9/Assumptions!$B$17),0)))+IF($W9="YES",15,0)+IF($Y9="YES",10,0)+IF($AD9="YES",15,0)))</f>
        <v/>
      </c>
      <c r="AF9" s="8" t="str">
        <f aca="false">IF($AE9="","",IF($O9="TOO SHORT","REJECT",IF($AE9&gt;=80,"STRONG",IF($AE9&gt;=55,"MARGINAL","WEAK"))))</f>
        <v/>
      </c>
      <c r="AG9" s="12"/>
    </row>
    <row r="10" customFormat="false" ht="15" hidden="false" customHeight="false" outlineLevel="0" collapsed="false">
      <c r="A10" s="12"/>
      <c r="B10" s="12"/>
      <c r="C10" s="12"/>
      <c r="D10" s="31"/>
      <c r="E10" s="9"/>
      <c r="F10" s="25" t="str">
        <f aca="false">IF(OR($D10="",$E10=""),"",$D10/MAX($E10,0.01))</f>
        <v/>
      </c>
      <c r="G10" s="9"/>
      <c r="H10" s="26" t="str">
        <f aca="false">IF($C10="","",INDEX(Assumptions!$B$25:$B$27,MATCH($C10,Assumptions!$A$25:$A$27,0)))</f>
        <v/>
      </c>
      <c r="I10" s="26" t="str">
        <f aca="false">IF($C10="","",INDEX(Assumptions!$C$25:$C$27,MATCH($C10,Assumptions!$A$25:$A$27,0)))</f>
        <v/>
      </c>
      <c r="J10" s="27" t="str">
        <f aca="false">IF(OR($G10="",$C10=""),"",ROUND($G10+120*((($H10-32)*5/9)-(15-1.98*$G10/1000)),0))</f>
        <v/>
      </c>
      <c r="K10" s="27" t="str">
        <f aca="false">IF(OR($G10="",$C10=""),"",ROUND($G10+120*((($I10-32)*5/9)-(15-1.98*$G10/1000)),0))</f>
        <v/>
      </c>
      <c r="L10" s="27" t="str">
        <f aca="false">IF($J10="","",ROUND(MAX(Assumptions!$B$10,Assumptions!$B$11)*POWER(1+Assumptions!$B$14,MAX($J10,0)/1000)*Assumptions!$B$15*Assumptions!$B$16,0))</f>
        <v/>
      </c>
      <c r="M10" s="27" t="str">
        <f aca="false">IF($K10="","",ROUND(MAX(Assumptions!$B$10,Assumptions!$B$11)*POWER(1+Assumptions!$B$14,MAX($K10,0)/1000)*Assumptions!$B$15*Assumptions!$B$16,0))</f>
        <v/>
      </c>
      <c r="N10" s="9"/>
      <c r="O10" s="8" t="str">
        <f aca="false">IF(OR($N10="",$L10=""),"",IF($N10&gt;=$L10,"ALL-SEASON",IF($N10&gt;=$M10,"COOL-DAY ONLY","TOO SHORT")))</f>
        <v/>
      </c>
      <c r="P10" s="18"/>
      <c r="Q10" s="26" t="str">
        <f aca="false">IF($C10="","",INDEX(Assumptions!$D$25:$D$27,MATCH($C10,Assumptions!$A$25:$A$27,0)))</f>
        <v/>
      </c>
      <c r="R10" s="26" t="str">
        <f aca="false">IF($C10="","",INDEX(Assumptions!$E$25:$E$27,MATCH($C10,Assumptions!$A$25:$A$27,0)))</f>
        <v/>
      </c>
      <c r="S10" s="26" t="str">
        <f aca="false">IF(OR($P10="",$C10=""),"",ROUND($R10*SIN(RADIANS(MIN(MOD(ABS($P10-$Q10),180),180-MOD(ABS($P10-$Q10),180)))),0))</f>
        <v/>
      </c>
      <c r="T10" s="8" t="str">
        <f aca="false">IF($S10="","",IF($S10&lt;=Assumptions!$B$17,"YES","NO"))</f>
        <v/>
      </c>
      <c r="U10" s="19"/>
      <c r="V10" s="19"/>
      <c r="W10" s="8" t="str">
        <f aca="false">IF(AND($U10="",$V10=""),"",IF(AND(N($U10)&lt;=Assumptions!$B$18,N($V10)&lt;=Assumptions!$B$19),"YES","NO"))</f>
        <v/>
      </c>
      <c r="X10" s="32"/>
      <c r="Y10" s="8" t="str">
        <f aca="false">IF($X10="","",IF($X10&lt;=Assumptions!$B$20,"YES","NO"))</f>
        <v/>
      </c>
      <c r="Z10" s="18"/>
      <c r="AA10" s="9"/>
      <c r="AB10" s="18"/>
      <c r="AC10" s="9"/>
      <c r="AD10" s="8" t="str">
        <f aca="false">IF($O10="","",IF(AND(IF(N($Z10)&lt;=0,TRUE(),N($AA10)&gt;=Assumptions!$B$21*N($Z10)),IF(N($AB10)&lt;=0,TRUE(),N($AC10)&gt;=Assumptions!$B$21*N($AB10))),"YES","NO"))</f>
        <v/>
      </c>
      <c r="AE10" s="26" t="str">
        <f aca="false">IF($O10="","",IF($O10="TOO SHORT",0,IF($O10="ALL-SEASON",40,25)+IF($S10="",0,MAX(0,ROUND(20*(1-$S10/Assumptions!$B$17),0)))+IF($W10="YES",15,0)+IF($Y10="YES",10,0)+IF($AD10="YES",15,0)))</f>
        <v/>
      </c>
      <c r="AF10" s="8" t="str">
        <f aca="false">IF($AE10="","",IF($O10="TOO SHORT","REJECT",IF($AE10&gt;=80,"STRONG",IF($AE10&gt;=55,"MARGINAL","WEAK"))))</f>
        <v/>
      </c>
      <c r="AG10" s="12"/>
    </row>
    <row r="11" customFormat="false" ht="15" hidden="false" customHeight="false" outlineLevel="0" collapsed="false">
      <c r="A11" s="12"/>
      <c r="B11" s="12"/>
      <c r="C11" s="12"/>
      <c r="D11" s="31"/>
      <c r="E11" s="9"/>
      <c r="F11" s="25" t="str">
        <f aca="false">IF(OR($D11="",$E11=""),"",$D11/MAX($E11,0.01))</f>
        <v/>
      </c>
      <c r="G11" s="9"/>
      <c r="H11" s="26" t="str">
        <f aca="false">IF($C11="","",INDEX(Assumptions!$B$25:$B$27,MATCH($C11,Assumptions!$A$25:$A$27,0)))</f>
        <v/>
      </c>
      <c r="I11" s="26" t="str">
        <f aca="false">IF($C11="","",INDEX(Assumptions!$C$25:$C$27,MATCH($C11,Assumptions!$A$25:$A$27,0)))</f>
        <v/>
      </c>
      <c r="J11" s="27" t="str">
        <f aca="false">IF(OR($G11="",$C11=""),"",ROUND($G11+120*((($H11-32)*5/9)-(15-1.98*$G11/1000)),0))</f>
        <v/>
      </c>
      <c r="K11" s="27" t="str">
        <f aca="false">IF(OR($G11="",$C11=""),"",ROUND($G11+120*((($I11-32)*5/9)-(15-1.98*$G11/1000)),0))</f>
        <v/>
      </c>
      <c r="L11" s="27" t="str">
        <f aca="false">IF($J11="","",ROUND(MAX(Assumptions!$B$10,Assumptions!$B$11)*POWER(1+Assumptions!$B$14,MAX($J11,0)/1000)*Assumptions!$B$15*Assumptions!$B$16,0))</f>
        <v/>
      </c>
      <c r="M11" s="27" t="str">
        <f aca="false">IF($K11="","",ROUND(MAX(Assumptions!$B$10,Assumptions!$B$11)*POWER(1+Assumptions!$B$14,MAX($K11,0)/1000)*Assumptions!$B$15*Assumptions!$B$16,0))</f>
        <v/>
      </c>
      <c r="N11" s="9"/>
      <c r="O11" s="8" t="str">
        <f aca="false">IF(OR($N11="",$L11=""),"",IF($N11&gt;=$L11,"ALL-SEASON",IF($N11&gt;=$M11,"COOL-DAY ONLY","TOO SHORT")))</f>
        <v/>
      </c>
      <c r="P11" s="18"/>
      <c r="Q11" s="26" t="str">
        <f aca="false">IF($C11="","",INDEX(Assumptions!$D$25:$D$27,MATCH($C11,Assumptions!$A$25:$A$27,0)))</f>
        <v/>
      </c>
      <c r="R11" s="26" t="str">
        <f aca="false">IF($C11="","",INDEX(Assumptions!$E$25:$E$27,MATCH($C11,Assumptions!$A$25:$A$27,0)))</f>
        <v/>
      </c>
      <c r="S11" s="26" t="str">
        <f aca="false">IF(OR($P11="",$C11=""),"",ROUND($R11*SIN(RADIANS(MIN(MOD(ABS($P11-$Q11),180),180-MOD(ABS($P11-$Q11),180)))),0))</f>
        <v/>
      </c>
      <c r="T11" s="8" t="str">
        <f aca="false">IF($S11="","",IF($S11&lt;=Assumptions!$B$17,"YES","NO"))</f>
        <v/>
      </c>
      <c r="U11" s="19"/>
      <c r="V11" s="19"/>
      <c r="W11" s="8" t="str">
        <f aca="false">IF(AND($U11="",$V11=""),"",IF(AND(N($U11)&lt;=Assumptions!$B$18,N($V11)&lt;=Assumptions!$B$19),"YES","NO"))</f>
        <v/>
      </c>
      <c r="X11" s="32"/>
      <c r="Y11" s="8" t="str">
        <f aca="false">IF($X11="","",IF($X11&lt;=Assumptions!$B$20,"YES","NO"))</f>
        <v/>
      </c>
      <c r="Z11" s="18"/>
      <c r="AA11" s="9"/>
      <c r="AB11" s="18"/>
      <c r="AC11" s="9"/>
      <c r="AD11" s="8" t="str">
        <f aca="false">IF($O11="","",IF(AND(IF(N($Z11)&lt;=0,TRUE(),N($AA11)&gt;=Assumptions!$B$21*N($Z11)),IF(N($AB11)&lt;=0,TRUE(),N($AC11)&gt;=Assumptions!$B$21*N($AB11))),"YES","NO"))</f>
        <v/>
      </c>
      <c r="AE11" s="26" t="str">
        <f aca="false">IF($O11="","",IF($O11="TOO SHORT",0,IF($O11="ALL-SEASON",40,25)+IF($S11="",0,MAX(0,ROUND(20*(1-$S11/Assumptions!$B$17),0)))+IF($W11="YES",15,0)+IF($Y11="YES",10,0)+IF($AD11="YES",15,0)))</f>
        <v/>
      </c>
      <c r="AF11" s="8" t="str">
        <f aca="false">IF($AE11="","",IF($O11="TOO SHORT","REJECT",IF($AE11&gt;=80,"STRONG",IF($AE11&gt;=55,"MARGINAL","WEAK"))))</f>
        <v/>
      </c>
      <c r="AG11" s="12"/>
    </row>
    <row r="12" customFormat="false" ht="15" hidden="false" customHeight="false" outlineLevel="0" collapsed="false">
      <c r="A12" s="12"/>
      <c r="B12" s="12"/>
      <c r="C12" s="12"/>
      <c r="D12" s="31"/>
      <c r="E12" s="9"/>
      <c r="F12" s="25" t="str">
        <f aca="false">IF(OR($D12="",$E12=""),"",$D12/MAX($E12,0.01))</f>
        <v/>
      </c>
      <c r="G12" s="9"/>
      <c r="H12" s="26" t="str">
        <f aca="false">IF($C12="","",INDEX(Assumptions!$B$25:$B$27,MATCH($C12,Assumptions!$A$25:$A$27,0)))</f>
        <v/>
      </c>
      <c r="I12" s="26" t="str">
        <f aca="false">IF($C12="","",INDEX(Assumptions!$C$25:$C$27,MATCH($C12,Assumptions!$A$25:$A$27,0)))</f>
        <v/>
      </c>
      <c r="J12" s="27" t="str">
        <f aca="false">IF(OR($G12="",$C12=""),"",ROUND($G12+120*((($H12-32)*5/9)-(15-1.98*$G12/1000)),0))</f>
        <v/>
      </c>
      <c r="K12" s="27" t="str">
        <f aca="false">IF(OR($G12="",$C12=""),"",ROUND($G12+120*((($I12-32)*5/9)-(15-1.98*$G12/1000)),0))</f>
        <v/>
      </c>
      <c r="L12" s="27" t="str">
        <f aca="false">IF($J12="","",ROUND(MAX(Assumptions!$B$10,Assumptions!$B$11)*POWER(1+Assumptions!$B$14,MAX($J12,0)/1000)*Assumptions!$B$15*Assumptions!$B$16,0))</f>
        <v/>
      </c>
      <c r="M12" s="27" t="str">
        <f aca="false">IF($K12="","",ROUND(MAX(Assumptions!$B$10,Assumptions!$B$11)*POWER(1+Assumptions!$B$14,MAX($K12,0)/1000)*Assumptions!$B$15*Assumptions!$B$16,0))</f>
        <v/>
      </c>
      <c r="N12" s="9"/>
      <c r="O12" s="8" t="str">
        <f aca="false">IF(OR($N12="",$L12=""),"",IF($N12&gt;=$L12,"ALL-SEASON",IF($N12&gt;=$M12,"COOL-DAY ONLY","TOO SHORT")))</f>
        <v/>
      </c>
      <c r="P12" s="18"/>
      <c r="Q12" s="26" t="str">
        <f aca="false">IF($C12="","",INDEX(Assumptions!$D$25:$D$27,MATCH($C12,Assumptions!$A$25:$A$27,0)))</f>
        <v/>
      </c>
      <c r="R12" s="26" t="str">
        <f aca="false">IF($C12="","",INDEX(Assumptions!$E$25:$E$27,MATCH($C12,Assumptions!$A$25:$A$27,0)))</f>
        <v/>
      </c>
      <c r="S12" s="26" t="str">
        <f aca="false">IF(OR($P12="",$C12=""),"",ROUND($R12*SIN(RADIANS(MIN(MOD(ABS($P12-$Q12),180),180-MOD(ABS($P12-$Q12),180)))),0))</f>
        <v/>
      </c>
      <c r="T12" s="8" t="str">
        <f aca="false">IF($S12="","",IF($S12&lt;=Assumptions!$B$17,"YES","NO"))</f>
        <v/>
      </c>
      <c r="U12" s="19"/>
      <c r="V12" s="19"/>
      <c r="W12" s="8" t="str">
        <f aca="false">IF(AND($U12="",$V12=""),"",IF(AND(N($U12)&lt;=Assumptions!$B$18,N($V12)&lt;=Assumptions!$B$19),"YES","NO"))</f>
        <v/>
      </c>
      <c r="X12" s="32"/>
      <c r="Y12" s="8" t="str">
        <f aca="false">IF($X12="","",IF($X12&lt;=Assumptions!$B$20,"YES","NO"))</f>
        <v/>
      </c>
      <c r="Z12" s="18"/>
      <c r="AA12" s="9"/>
      <c r="AB12" s="18"/>
      <c r="AC12" s="9"/>
      <c r="AD12" s="8" t="str">
        <f aca="false">IF($O12="","",IF(AND(IF(N($Z12)&lt;=0,TRUE(),N($AA12)&gt;=Assumptions!$B$21*N($Z12)),IF(N($AB12)&lt;=0,TRUE(),N($AC12)&gt;=Assumptions!$B$21*N($AB12))),"YES","NO"))</f>
        <v/>
      </c>
      <c r="AE12" s="26" t="str">
        <f aca="false">IF($O12="","",IF($O12="TOO SHORT",0,IF($O12="ALL-SEASON",40,25)+IF($S12="",0,MAX(0,ROUND(20*(1-$S12/Assumptions!$B$17),0)))+IF($W12="YES",15,0)+IF($Y12="YES",10,0)+IF($AD12="YES",15,0)))</f>
        <v/>
      </c>
      <c r="AF12" s="8" t="str">
        <f aca="false">IF($AE12="","",IF($O12="TOO SHORT","REJECT",IF($AE12&gt;=80,"STRONG",IF($AE12&gt;=55,"MARGINAL","WEAK"))))</f>
        <v/>
      </c>
      <c r="AG12" s="12"/>
    </row>
    <row r="13" customFormat="false" ht="15" hidden="false" customHeight="false" outlineLevel="0" collapsed="false">
      <c r="A13" s="12"/>
      <c r="B13" s="12"/>
      <c r="C13" s="12"/>
      <c r="D13" s="31"/>
      <c r="E13" s="9"/>
      <c r="F13" s="25" t="str">
        <f aca="false">IF(OR($D13="",$E13=""),"",$D13/MAX($E13,0.01))</f>
        <v/>
      </c>
      <c r="G13" s="9"/>
      <c r="H13" s="26" t="str">
        <f aca="false">IF($C13="","",INDEX(Assumptions!$B$25:$B$27,MATCH($C13,Assumptions!$A$25:$A$27,0)))</f>
        <v/>
      </c>
      <c r="I13" s="26" t="str">
        <f aca="false">IF($C13="","",INDEX(Assumptions!$C$25:$C$27,MATCH($C13,Assumptions!$A$25:$A$27,0)))</f>
        <v/>
      </c>
      <c r="J13" s="27" t="str">
        <f aca="false">IF(OR($G13="",$C13=""),"",ROUND($G13+120*((($H13-32)*5/9)-(15-1.98*$G13/1000)),0))</f>
        <v/>
      </c>
      <c r="K13" s="27" t="str">
        <f aca="false">IF(OR($G13="",$C13=""),"",ROUND($G13+120*((($I13-32)*5/9)-(15-1.98*$G13/1000)),0))</f>
        <v/>
      </c>
      <c r="L13" s="27" t="str">
        <f aca="false">IF($J13="","",ROUND(MAX(Assumptions!$B$10,Assumptions!$B$11)*POWER(1+Assumptions!$B$14,MAX($J13,0)/1000)*Assumptions!$B$15*Assumptions!$B$16,0))</f>
        <v/>
      </c>
      <c r="M13" s="27" t="str">
        <f aca="false">IF($K13="","",ROUND(MAX(Assumptions!$B$10,Assumptions!$B$11)*POWER(1+Assumptions!$B$14,MAX($K13,0)/1000)*Assumptions!$B$15*Assumptions!$B$16,0))</f>
        <v/>
      </c>
      <c r="N13" s="9"/>
      <c r="O13" s="8" t="str">
        <f aca="false">IF(OR($N13="",$L13=""),"",IF($N13&gt;=$L13,"ALL-SEASON",IF($N13&gt;=$M13,"COOL-DAY ONLY","TOO SHORT")))</f>
        <v/>
      </c>
      <c r="P13" s="18"/>
      <c r="Q13" s="26" t="str">
        <f aca="false">IF($C13="","",INDEX(Assumptions!$D$25:$D$27,MATCH($C13,Assumptions!$A$25:$A$27,0)))</f>
        <v/>
      </c>
      <c r="R13" s="26" t="str">
        <f aca="false">IF($C13="","",INDEX(Assumptions!$E$25:$E$27,MATCH($C13,Assumptions!$A$25:$A$27,0)))</f>
        <v/>
      </c>
      <c r="S13" s="26" t="str">
        <f aca="false">IF(OR($P13="",$C13=""),"",ROUND($R13*SIN(RADIANS(MIN(MOD(ABS($P13-$Q13),180),180-MOD(ABS($P13-$Q13),180)))),0))</f>
        <v/>
      </c>
      <c r="T13" s="8" t="str">
        <f aca="false">IF($S13="","",IF($S13&lt;=Assumptions!$B$17,"YES","NO"))</f>
        <v/>
      </c>
      <c r="U13" s="19"/>
      <c r="V13" s="19"/>
      <c r="W13" s="8" t="str">
        <f aca="false">IF(AND($U13="",$V13=""),"",IF(AND(N($U13)&lt;=Assumptions!$B$18,N($V13)&lt;=Assumptions!$B$19),"YES","NO"))</f>
        <v/>
      </c>
      <c r="X13" s="32"/>
      <c r="Y13" s="8" t="str">
        <f aca="false">IF($X13="","",IF($X13&lt;=Assumptions!$B$20,"YES","NO"))</f>
        <v/>
      </c>
      <c r="Z13" s="18"/>
      <c r="AA13" s="9"/>
      <c r="AB13" s="18"/>
      <c r="AC13" s="9"/>
      <c r="AD13" s="8" t="str">
        <f aca="false">IF($O13="","",IF(AND(IF(N($Z13)&lt;=0,TRUE(),N($AA13)&gt;=Assumptions!$B$21*N($Z13)),IF(N($AB13)&lt;=0,TRUE(),N($AC13)&gt;=Assumptions!$B$21*N($AB13))),"YES","NO"))</f>
        <v/>
      </c>
      <c r="AE13" s="26" t="str">
        <f aca="false">IF($O13="","",IF($O13="TOO SHORT",0,IF($O13="ALL-SEASON",40,25)+IF($S13="",0,MAX(0,ROUND(20*(1-$S13/Assumptions!$B$17),0)))+IF($W13="YES",15,0)+IF($Y13="YES",10,0)+IF($AD13="YES",15,0)))</f>
        <v/>
      </c>
      <c r="AF13" s="8" t="str">
        <f aca="false">IF($AE13="","",IF($O13="TOO SHORT","REJECT",IF($AE13&gt;=80,"STRONG",IF($AE13&gt;=55,"MARGINAL","WEAK"))))</f>
        <v/>
      </c>
      <c r="AG13" s="12"/>
    </row>
    <row r="14" customFormat="false" ht="15" hidden="false" customHeight="false" outlineLevel="0" collapsed="false">
      <c r="A14" s="12"/>
      <c r="B14" s="12"/>
      <c r="C14" s="12"/>
      <c r="D14" s="31"/>
      <c r="E14" s="9"/>
      <c r="F14" s="25" t="str">
        <f aca="false">IF(OR($D14="",$E14=""),"",$D14/MAX($E14,0.01))</f>
        <v/>
      </c>
      <c r="G14" s="9"/>
      <c r="H14" s="26" t="str">
        <f aca="false">IF($C14="","",INDEX(Assumptions!$B$25:$B$27,MATCH($C14,Assumptions!$A$25:$A$27,0)))</f>
        <v/>
      </c>
      <c r="I14" s="26" t="str">
        <f aca="false">IF($C14="","",INDEX(Assumptions!$C$25:$C$27,MATCH($C14,Assumptions!$A$25:$A$27,0)))</f>
        <v/>
      </c>
      <c r="J14" s="27" t="str">
        <f aca="false">IF(OR($G14="",$C14=""),"",ROUND($G14+120*((($H14-32)*5/9)-(15-1.98*$G14/1000)),0))</f>
        <v/>
      </c>
      <c r="K14" s="27" t="str">
        <f aca="false">IF(OR($G14="",$C14=""),"",ROUND($G14+120*((($I14-32)*5/9)-(15-1.98*$G14/1000)),0))</f>
        <v/>
      </c>
      <c r="L14" s="27" t="str">
        <f aca="false">IF($J14="","",ROUND(MAX(Assumptions!$B$10,Assumptions!$B$11)*POWER(1+Assumptions!$B$14,MAX($J14,0)/1000)*Assumptions!$B$15*Assumptions!$B$16,0))</f>
        <v/>
      </c>
      <c r="M14" s="27" t="str">
        <f aca="false">IF($K14="","",ROUND(MAX(Assumptions!$B$10,Assumptions!$B$11)*POWER(1+Assumptions!$B$14,MAX($K14,0)/1000)*Assumptions!$B$15*Assumptions!$B$16,0))</f>
        <v/>
      </c>
      <c r="N14" s="9"/>
      <c r="O14" s="8" t="str">
        <f aca="false">IF(OR($N14="",$L14=""),"",IF($N14&gt;=$L14,"ALL-SEASON",IF($N14&gt;=$M14,"COOL-DAY ONLY","TOO SHORT")))</f>
        <v/>
      </c>
      <c r="P14" s="18"/>
      <c r="Q14" s="26" t="str">
        <f aca="false">IF($C14="","",INDEX(Assumptions!$D$25:$D$27,MATCH($C14,Assumptions!$A$25:$A$27,0)))</f>
        <v/>
      </c>
      <c r="R14" s="26" t="str">
        <f aca="false">IF($C14="","",INDEX(Assumptions!$E$25:$E$27,MATCH($C14,Assumptions!$A$25:$A$27,0)))</f>
        <v/>
      </c>
      <c r="S14" s="26" t="str">
        <f aca="false">IF(OR($P14="",$C14=""),"",ROUND($R14*SIN(RADIANS(MIN(MOD(ABS($P14-$Q14),180),180-MOD(ABS($P14-$Q14),180)))),0))</f>
        <v/>
      </c>
      <c r="T14" s="8" t="str">
        <f aca="false">IF($S14="","",IF($S14&lt;=Assumptions!$B$17,"YES","NO"))</f>
        <v/>
      </c>
      <c r="U14" s="19"/>
      <c r="V14" s="19"/>
      <c r="W14" s="8" t="str">
        <f aca="false">IF(AND($U14="",$V14=""),"",IF(AND(N($U14)&lt;=Assumptions!$B$18,N($V14)&lt;=Assumptions!$B$19),"YES","NO"))</f>
        <v/>
      </c>
      <c r="X14" s="32"/>
      <c r="Y14" s="8" t="str">
        <f aca="false">IF($X14="","",IF($X14&lt;=Assumptions!$B$20,"YES","NO"))</f>
        <v/>
      </c>
      <c r="Z14" s="18"/>
      <c r="AA14" s="9"/>
      <c r="AB14" s="18"/>
      <c r="AC14" s="9"/>
      <c r="AD14" s="8" t="str">
        <f aca="false">IF($O14="","",IF(AND(IF(N($Z14)&lt;=0,TRUE(),N($AA14)&gt;=Assumptions!$B$21*N($Z14)),IF(N($AB14)&lt;=0,TRUE(),N($AC14)&gt;=Assumptions!$B$21*N($AB14))),"YES","NO"))</f>
        <v/>
      </c>
      <c r="AE14" s="26" t="str">
        <f aca="false">IF($O14="","",IF($O14="TOO SHORT",0,IF($O14="ALL-SEASON",40,25)+IF($S14="",0,MAX(0,ROUND(20*(1-$S14/Assumptions!$B$17),0)))+IF($W14="YES",15,0)+IF($Y14="YES",10,0)+IF($AD14="YES",15,0)))</f>
        <v/>
      </c>
      <c r="AF14" s="8" t="str">
        <f aca="false">IF($AE14="","",IF($O14="TOO SHORT","REJECT",IF($AE14&gt;=80,"STRONG",IF($AE14&gt;=55,"MARGINAL","WEAK"))))</f>
        <v/>
      </c>
      <c r="AG14" s="12"/>
    </row>
    <row r="15" customFormat="false" ht="15" hidden="false" customHeight="false" outlineLevel="0" collapsed="false">
      <c r="A15" s="12"/>
      <c r="B15" s="12"/>
      <c r="C15" s="12"/>
      <c r="D15" s="31"/>
      <c r="E15" s="9"/>
      <c r="F15" s="25" t="str">
        <f aca="false">IF(OR($D15="",$E15=""),"",$D15/MAX($E15,0.01))</f>
        <v/>
      </c>
      <c r="G15" s="9"/>
      <c r="H15" s="26" t="str">
        <f aca="false">IF($C15="","",INDEX(Assumptions!$B$25:$B$27,MATCH($C15,Assumptions!$A$25:$A$27,0)))</f>
        <v/>
      </c>
      <c r="I15" s="26" t="str">
        <f aca="false">IF($C15="","",INDEX(Assumptions!$C$25:$C$27,MATCH($C15,Assumptions!$A$25:$A$27,0)))</f>
        <v/>
      </c>
      <c r="J15" s="27" t="str">
        <f aca="false">IF(OR($G15="",$C15=""),"",ROUND($G15+120*((($H15-32)*5/9)-(15-1.98*$G15/1000)),0))</f>
        <v/>
      </c>
      <c r="K15" s="27" t="str">
        <f aca="false">IF(OR($G15="",$C15=""),"",ROUND($G15+120*((($I15-32)*5/9)-(15-1.98*$G15/1000)),0))</f>
        <v/>
      </c>
      <c r="L15" s="27" t="str">
        <f aca="false">IF($J15="","",ROUND(MAX(Assumptions!$B$10,Assumptions!$B$11)*POWER(1+Assumptions!$B$14,MAX($J15,0)/1000)*Assumptions!$B$15*Assumptions!$B$16,0))</f>
        <v/>
      </c>
      <c r="M15" s="27" t="str">
        <f aca="false">IF($K15="","",ROUND(MAX(Assumptions!$B$10,Assumptions!$B$11)*POWER(1+Assumptions!$B$14,MAX($K15,0)/1000)*Assumptions!$B$15*Assumptions!$B$16,0))</f>
        <v/>
      </c>
      <c r="N15" s="9"/>
      <c r="O15" s="8" t="str">
        <f aca="false">IF(OR($N15="",$L15=""),"",IF($N15&gt;=$L15,"ALL-SEASON",IF($N15&gt;=$M15,"COOL-DAY ONLY","TOO SHORT")))</f>
        <v/>
      </c>
      <c r="P15" s="18"/>
      <c r="Q15" s="26" t="str">
        <f aca="false">IF($C15="","",INDEX(Assumptions!$D$25:$D$27,MATCH($C15,Assumptions!$A$25:$A$27,0)))</f>
        <v/>
      </c>
      <c r="R15" s="26" t="str">
        <f aca="false">IF($C15="","",INDEX(Assumptions!$E$25:$E$27,MATCH($C15,Assumptions!$A$25:$A$27,0)))</f>
        <v/>
      </c>
      <c r="S15" s="26" t="str">
        <f aca="false">IF(OR($P15="",$C15=""),"",ROUND($R15*SIN(RADIANS(MIN(MOD(ABS($P15-$Q15),180),180-MOD(ABS($P15-$Q15),180)))),0))</f>
        <v/>
      </c>
      <c r="T15" s="8" t="str">
        <f aca="false">IF($S15="","",IF($S15&lt;=Assumptions!$B$17,"YES","NO"))</f>
        <v/>
      </c>
      <c r="U15" s="19"/>
      <c r="V15" s="19"/>
      <c r="W15" s="8" t="str">
        <f aca="false">IF(AND($U15="",$V15=""),"",IF(AND(N($U15)&lt;=Assumptions!$B$18,N($V15)&lt;=Assumptions!$B$19),"YES","NO"))</f>
        <v/>
      </c>
      <c r="X15" s="32"/>
      <c r="Y15" s="8" t="str">
        <f aca="false">IF($X15="","",IF($X15&lt;=Assumptions!$B$20,"YES","NO"))</f>
        <v/>
      </c>
      <c r="Z15" s="18"/>
      <c r="AA15" s="9"/>
      <c r="AB15" s="18"/>
      <c r="AC15" s="9"/>
      <c r="AD15" s="8" t="str">
        <f aca="false">IF($O15="","",IF(AND(IF(N($Z15)&lt;=0,TRUE(),N($AA15)&gt;=Assumptions!$B$21*N($Z15)),IF(N($AB15)&lt;=0,TRUE(),N($AC15)&gt;=Assumptions!$B$21*N($AB15))),"YES","NO"))</f>
        <v/>
      </c>
      <c r="AE15" s="26" t="str">
        <f aca="false">IF($O15="","",IF($O15="TOO SHORT",0,IF($O15="ALL-SEASON",40,25)+IF($S15="",0,MAX(0,ROUND(20*(1-$S15/Assumptions!$B$17),0)))+IF($W15="YES",15,0)+IF($Y15="YES",10,0)+IF($AD15="YES",15,0)))</f>
        <v/>
      </c>
      <c r="AF15" s="8" t="str">
        <f aca="false">IF($AE15="","",IF($O15="TOO SHORT","REJECT",IF($AE15&gt;=80,"STRONG",IF($AE15&gt;=55,"MARGINAL","WEAK"))))</f>
        <v/>
      </c>
      <c r="AG15" s="12"/>
    </row>
    <row r="16" customFormat="false" ht="15" hidden="false" customHeight="false" outlineLevel="0" collapsed="false">
      <c r="A16" s="12"/>
      <c r="B16" s="12"/>
      <c r="C16" s="12"/>
      <c r="D16" s="31"/>
      <c r="E16" s="9"/>
      <c r="F16" s="25" t="str">
        <f aca="false">IF(OR($D16="",$E16=""),"",$D16/MAX($E16,0.01))</f>
        <v/>
      </c>
      <c r="G16" s="9"/>
      <c r="H16" s="26" t="str">
        <f aca="false">IF($C16="","",INDEX(Assumptions!$B$25:$B$27,MATCH($C16,Assumptions!$A$25:$A$27,0)))</f>
        <v/>
      </c>
      <c r="I16" s="26" t="str">
        <f aca="false">IF($C16="","",INDEX(Assumptions!$C$25:$C$27,MATCH($C16,Assumptions!$A$25:$A$27,0)))</f>
        <v/>
      </c>
      <c r="J16" s="27" t="str">
        <f aca="false">IF(OR($G16="",$C16=""),"",ROUND($G16+120*((($H16-32)*5/9)-(15-1.98*$G16/1000)),0))</f>
        <v/>
      </c>
      <c r="K16" s="27" t="str">
        <f aca="false">IF(OR($G16="",$C16=""),"",ROUND($G16+120*((($I16-32)*5/9)-(15-1.98*$G16/1000)),0))</f>
        <v/>
      </c>
      <c r="L16" s="27" t="str">
        <f aca="false">IF($J16="","",ROUND(MAX(Assumptions!$B$10,Assumptions!$B$11)*POWER(1+Assumptions!$B$14,MAX($J16,0)/1000)*Assumptions!$B$15*Assumptions!$B$16,0))</f>
        <v/>
      </c>
      <c r="M16" s="27" t="str">
        <f aca="false">IF($K16="","",ROUND(MAX(Assumptions!$B$10,Assumptions!$B$11)*POWER(1+Assumptions!$B$14,MAX($K16,0)/1000)*Assumptions!$B$15*Assumptions!$B$16,0))</f>
        <v/>
      </c>
      <c r="N16" s="9"/>
      <c r="O16" s="8" t="str">
        <f aca="false">IF(OR($N16="",$L16=""),"",IF($N16&gt;=$L16,"ALL-SEASON",IF($N16&gt;=$M16,"COOL-DAY ONLY","TOO SHORT")))</f>
        <v/>
      </c>
      <c r="P16" s="18"/>
      <c r="Q16" s="26" t="str">
        <f aca="false">IF($C16="","",INDEX(Assumptions!$D$25:$D$27,MATCH($C16,Assumptions!$A$25:$A$27,0)))</f>
        <v/>
      </c>
      <c r="R16" s="26" t="str">
        <f aca="false">IF($C16="","",INDEX(Assumptions!$E$25:$E$27,MATCH($C16,Assumptions!$A$25:$A$27,0)))</f>
        <v/>
      </c>
      <c r="S16" s="26" t="str">
        <f aca="false">IF(OR($P16="",$C16=""),"",ROUND($R16*SIN(RADIANS(MIN(MOD(ABS($P16-$Q16),180),180-MOD(ABS($P16-$Q16),180)))),0))</f>
        <v/>
      </c>
      <c r="T16" s="8" t="str">
        <f aca="false">IF($S16="","",IF($S16&lt;=Assumptions!$B$17,"YES","NO"))</f>
        <v/>
      </c>
      <c r="U16" s="19"/>
      <c r="V16" s="19"/>
      <c r="W16" s="8" t="str">
        <f aca="false">IF(AND($U16="",$V16=""),"",IF(AND(N($U16)&lt;=Assumptions!$B$18,N($V16)&lt;=Assumptions!$B$19),"YES","NO"))</f>
        <v/>
      </c>
      <c r="X16" s="32"/>
      <c r="Y16" s="8" t="str">
        <f aca="false">IF($X16="","",IF($X16&lt;=Assumptions!$B$20,"YES","NO"))</f>
        <v/>
      </c>
      <c r="Z16" s="18"/>
      <c r="AA16" s="9"/>
      <c r="AB16" s="18"/>
      <c r="AC16" s="9"/>
      <c r="AD16" s="8" t="str">
        <f aca="false">IF($O16="","",IF(AND(IF(N($Z16)&lt;=0,TRUE(),N($AA16)&gt;=Assumptions!$B$21*N($Z16)),IF(N($AB16)&lt;=0,TRUE(),N($AC16)&gt;=Assumptions!$B$21*N($AB16))),"YES","NO"))</f>
        <v/>
      </c>
      <c r="AE16" s="26" t="str">
        <f aca="false">IF($O16="","",IF($O16="TOO SHORT",0,IF($O16="ALL-SEASON",40,25)+IF($S16="",0,MAX(0,ROUND(20*(1-$S16/Assumptions!$B$17),0)))+IF($W16="YES",15,0)+IF($Y16="YES",10,0)+IF($AD16="YES",15,0)))</f>
        <v/>
      </c>
      <c r="AF16" s="8" t="str">
        <f aca="false">IF($AE16="","",IF($O16="TOO SHORT","REJECT",IF($AE16&gt;=80,"STRONG",IF($AE16&gt;=55,"MARGINAL","WEAK"))))</f>
        <v/>
      </c>
      <c r="AG16" s="12"/>
    </row>
    <row r="17" customFormat="false" ht="15" hidden="false" customHeight="false" outlineLevel="0" collapsed="false">
      <c r="A17" s="12"/>
      <c r="B17" s="12"/>
      <c r="C17" s="12"/>
      <c r="D17" s="31"/>
      <c r="E17" s="9"/>
      <c r="F17" s="25" t="str">
        <f aca="false">IF(OR($D17="",$E17=""),"",$D17/MAX($E17,0.01))</f>
        <v/>
      </c>
      <c r="G17" s="9"/>
      <c r="H17" s="26" t="str">
        <f aca="false">IF($C17="","",INDEX(Assumptions!$B$25:$B$27,MATCH($C17,Assumptions!$A$25:$A$27,0)))</f>
        <v/>
      </c>
      <c r="I17" s="26" t="str">
        <f aca="false">IF($C17="","",INDEX(Assumptions!$C$25:$C$27,MATCH($C17,Assumptions!$A$25:$A$27,0)))</f>
        <v/>
      </c>
      <c r="J17" s="27" t="str">
        <f aca="false">IF(OR($G17="",$C17=""),"",ROUND($G17+120*((($H17-32)*5/9)-(15-1.98*$G17/1000)),0))</f>
        <v/>
      </c>
      <c r="K17" s="27" t="str">
        <f aca="false">IF(OR($G17="",$C17=""),"",ROUND($G17+120*((($I17-32)*5/9)-(15-1.98*$G17/1000)),0))</f>
        <v/>
      </c>
      <c r="L17" s="27" t="str">
        <f aca="false">IF($J17="","",ROUND(MAX(Assumptions!$B$10,Assumptions!$B$11)*POWER(1+Assumptions!$B$14,MAX($J17,0)/1000)*Assumptions!$B$15*Assumptions!$B$16,0))</f>
        <v/>
      </c>
      <c r="M17" s="27" t="str">
        <f aca="false">IF($K17="","",ROUND(MAX(Assumptions!$B$10,Assumptions!$B$11)*POWER(1+Assumptions!$B$14,MAX($K17,0)/1000)*Assumptions!$B$15*Assumptions!$B$16,0))</f>
        <v/>
      </c>
      <c r="N17" s="9"/>
      <c r="O17" s="8" t="str">
        <f aca="false">IF(OR($N17="",$L17=""),"",IF($N17&gt;=$L17,"ALL-SEASON",IF($N17&gt;=$M17,"COOL-DAY ONLY","TOO SHORT")))</f>
        <v/>
      </c>
      <c r="P17" s="18"/>
      <c r="Q17" s="26" t="str">
        <f aca="false">IF($C17="","",INDEX(Assumptions!$D$25:$D$27,MATCH($C17,Assumptions!$A$25:$A$27,0)))</f>
        <v/>
      </c>
      <c r="R17" s="26" t="str">
        <f aca="false">IF($C17="","",INDEX(Assumptions!$E$25:$E$27,MATCH($C17,Assumptions!$A$25:$A$27,0)))</f>
        <v/>
      </c>
      <c r="S17" s="26" t="str">
        <f aca="false">IF(OR($P17="",$C17=""),"",ROUND($R17*SIN(RADIANS(MIN(MOD(ABS($P17-$Q17),180),180-MOD(ABS($P17-$Q17),180)))),0))</f>
        <v/>
      </c>
      <c r="T17" s="8" t="str">
        <f aca="false">IF($S17="","",IF($S17&lt;=Assumptions!$B$17,"YES","NO"))</f>
        <v/>
      </c>
      <c r="U17" s="19"/>
      <c r="V17" s="19"/>
      <c r="W17" s="8" t="str">
        <f aca="false">IF(AND($U17="",$V17=""),"",IF(AND(N($U17)&lt;=Assumptions!$B$18,N($V17)&lt;=Assumptions!$B$19),"YES","NO"))</f>
        <v/>
      </c>
      <c r="X17" s="32"/>
      <c r="Y17" s="8" t="str">
        <f aca="false">IF($X17="","",IF($X17&lt;=Assumptions!$B$20,"YES","NO"))</f>
        <v/>
      </c>
      <c r="Z17" s="18"/>
      <c r="AA17" s="9"/>
      <c r="AB17" s="18"/>
      <c r="AC17" s="9"/>
      <c r="AD17" s="8" t="str">
        <f aca="false">IF($O17="","",IF(AND(IF(N($Z17)&lt;=0,TRUE(),N($AA17)&gt;=Assumptions!$B$21*N($Z17)),IF(N($AB17)&lt;=0,TRUE(),N($AC17)&gt;=Assumptions!$B$21*N($AB17))),"YES","NO"))</f>
        <v/>
      </c>
      <c r="AE17" s="26" t="str">
        <f aca="false">IF($O17="","",IF($O17="TOO SHORT",0,IF($O17="ALL-SEASON",40,25)+IF($S17="",0,MAX(0,ROUND(20*(1-$S17/Assumptions!$B$17),0)))+IF($W17="YES",15,0)+IF($Y17="YES",10,0)+IF($AD17="YES",15,0)))</f>
        <v/>
      </c>
      <c r="AF17" s="8" t="str">
        <f aca="false">IF($AE17="","",IF($O17="TOO SHORT","REJECT",IF($AE17&gt;=80,"STRONG",IF($AE17&gt;=55,"MARGINAL","WEAK"))))</f>
        <v/>
      </c>
      <c r="AG17" s="12"/>
    </row>
    <row r="18" customFormat="false" ht="15" hidden="false" customHeight="false" outlineLevel="0" collapsed="false">
      <c r="A18" s="12"/>
      <c r="B18" s="12"/>
      <c r="C18" s="12"/>
      <c r="D18" s="31"/>
      <c r="E18" s="9"/>
      <c r="F18" s="25" t="str">
        <f aca="false">IF(OR($D18="",$E18=""),"",$D18/MAX($E18,0.01))</f>
        <v/>
      </c>
      <c r="G18" s="9"/>
      <c r="H18" s="26" t="str">
        <f aca="false">IF($C18="","",INDEX(Assumptions!$B$25:$B$27,MATCH($C18,Assumptions!$A$25:$A$27,0)))</f>
        <v/>
      </c>
      <c r="I18" s="26" t="str">
        <f aca="false">IF($C18="","",INDEX(Assumptions!$C$25:$C$27,MATCH($C18,Assumptions!$A$25:$A$27,0)))</f>
        <v/>
      </c>
      <c r="J18" s="27" t="str">
        <f aca="false">IF(OR($G18="",$C18=""),"",ROUND($G18+120*((($H18-32)*5/9)-(15-1.98*$G18/1000)),0))</f>
        <v/>
      </c>
      <c r="K18" s="27" t="str">
        <f aca="false">IF(OR($G18="",$C18=""),"",ROUND($G18+120*((($I18-32)*5/9)-(15-1.98*$G18/1000)),0))</f>
        <v/>
      </c>
      <c r="L18" s="27" t="str">
        <f aca="false">IF($J18="","",ROUND(MAX(Assumptions!$B$10,Assumptions!$B$11)*POWER(1+Assumptions!$B$14,MAX($J18,0)/1000)*Assumptions!$B$15*Assumptions!$B$16,0))</f>
        <v/>
      </c>
      <c r="M18" s="27" t="str">
        <f aca="false">IF($K18="","",ROUND(MAX(Assumptions!$B$10,Assumptions!$B$11)*POWER(1+Assumptions!$B$14,MAX($K18,0)/1000)*Assumptions!$B$15*Assumptions!$B$16,0))</f>
        <v/>
      </c>
      <c r="N18" s="9"/>
      <c r="O18" s="8" t="str">
        <f aca="false">IF(OR($N18="",$L18=""),"",IF($N18&gt;=$L18,"ALL-SEASON",IF($N18&gt;=$M18,"COOL-DAY ONLY","TOO SHORT")))</f>
        <v/>
      </c>
      <c r="P18" s="18"/>
      <c r="Q18" s="26" t="str">
        <f aca="false">IF($C18="","",INDEX(Assumptions!$D$25:$D$27,MATCH($C18,Assumptions!$A$25:$A$27,0)))</f>
        <v/>
      </c>
      <c r="R18" s="26" t="str">
        <f aca="false">IF($C18="","",INDEX(Assumptions!$E$25:$E$27,MATCH($C18,Assumptions!$A$25:$A$27,0)))</f>
        <v/>
      </c>
      <c r="S18" s="26" t="str">
        <f aca="false">IF(OR($P18="",$C18=""),"",ROUND($R18*SIN(RADIANS(MIN(MOD(ABS($P18-$Q18),180),180-MOD(ABS($P18-$Q18),180)))),0))</f>
        <v/>
      </c>
      <c r="T18" s="8" t="str">
        <f aca="false">IF($S18="","",IF($S18&lt;=Assumptions!$B$17,"YES","NO"))</f>
        <v/>
      </c>
      <c r="U18" s="19"/>
      <c r="V18" s="19"/>
      <c r="W18" s="8" t="str">
        <f aca="false">IF(AND($U18="",$V18=""),"",IF(AND(N($U18)&lt;=Assumptions!$B$18,N($V18)&lt;=Assumptions!$B$19),"YES","NO"))</f>
        <v/>
      </c>
      <c r="X18" s="32"/>
      <c r="Y18" s="8" t="str">
        <f aca="false">IF($X18="","",IF($X18&lt;=Assumptions!$B$20,"YES","NO"))</f>
        <v/>
      </c>
      <c r="Z18" s="18"/>
      <c r="AA18" s="9"/>
      <c r="AB18" s="18"/>
      <c r="AC18" s="9"/>
      <c r="AD18" s="8" t="str">
        <f aca="false">IF($O18="","",IF(AND(IF(N($Z18)&lt;=0,TRUE(),N($AA18)&gt;=Assumptions!$B$21*N($Z18)),IF(N($AB18)&lt;=0,TRUE(),N($AC18)&gt;=Assumptions!$B$21*N($AB18))),"YES","NO"))</f>
        <v/>
      </c>
      <c r="AE18" s="26" t="str">
        <f aca="false">IF($O18="","",IF($O18="TOO SHORT",0,IF($O18="ALL-SEASON",40,25)+IF($S18="",0,MAX(0,ROUND(20*(1-$S18/Assumptions!$B$17),0)))+IF($W18="YES",15,0)+IF($Y18="YES",10,0)+IF($AD18="YES",15,0)))</f>
        <v/>
      </c>
      <c r="AF18" s="8" t="str">
        <f aca="false">IF($AE18="","",IF($O18="TOO SHORT","REJECT",IF($AE18&gt;=80,"STRONG",IF($AE18&gt;=55,"MARGINAL","WEAK"))))</f>
        <v/>
      </c>
      <c r="AG18" s="12"/>
    </row>
    <row r="19" customFormat="false" ht="15" hidden="false" customHeight="false" outlineLevel="0" collapsed="false">
      <c r="A19" s="12"/>
      <c r="B19" s="12"/>
      <c r="C19" s="12"/>
      <c r="D19" s="31"/>
      <c r="E19" s="9"/>
      <c r="F19" s="25" t="str">
        <f aca="false">IF(OR($D19="",$E19=""),"",$D19/MAX($E19,0.01))</f>
        <v/>
      </c>
      <c r="G19" s="9"/>
      <c r="H19" s="26" t="str">
        <f aca="false">IF($C19="","",INDEX(Assumptions!$B$25:$B$27,MATCH($C19,Assumptions!$A$25:$A$27,0)))</f>
        <v/>
      </c>
      <c r="I19" s="26" t="str">
        <f aca="false">IF($C19="","",INDEX(Assumptions!$C$25:$C$27,MATCH($C19,Assumptions!$A$25:$A$27,0)))</f>
        <v/>
      </c>
      <c r="J19" s="27" t="str">
        <f aca="false">IF(OR($G19="",$C19=""),"",ROUND($G19+120*((($H19-32)*5/9)-(15-1.98*$G19/1000)),0))</f>
        <v/>
      </c>
      <c r="K19" s="27" t="str">
        <f aca="false">IF(OR($G19="",$C19=""),"",ROUND($G19+120*((($I19-32)*5/9)-(15-1.98*$G19/1000)),0))</f>
        <v/>
      </c>
      <c r="L19" s="27" t="str">
        <f aca="false">IF($J19="","",ROUND(MAX(Assumptions!$B$10,Assumptions!$B$11)*POWER(1+Assumptions!$B$14,MAX($J19,0)/1000)*Assumptions!$B$15*Assumptions!$B$16,0))</f>
        <v/>
      </c>
      <c r="M19" s="27" t="str">
        <f aca="false">IF($K19="","",ROUND(MAX(Assumptions!$B$10,Assumptions!$B$11)*POWER(1+Assumptions!$B$14,MAX($K19,0)/1000)*Assumptions!$B$15*Assumptions!$B$16,0))</f>
        <v/>
      </c>
      <c r="N19" s="9"/>
      <c r="O19" s="8" t="str">
        <f aca="false">IF(OR($N19="",$L19=""),"",IF($N19&gt;=$L19,"ALL-SEASON",IF($N19&gt;=$M19,"COOL-DAY ONLY","TOO SHORT")))</f>
        <v/>
      </c>
      <c r="P19" s="18"/>
      <c r="Q19" s="26" t="str">
        <f aca="false">IF($C19="","",INDEX(Assumptions!$D$25:$D$27,MATCH($C19,Assumptions!$A$25:$A$27,0)))</f>
        <v/>
      </c>
      <c r="R19" s="26" t="str">
        <f aca="false">IF($C19="","",INDEX(Assumptions!$E$25:$E$27,MATCH($C19,Assumptions!$A$25:$A$27,0)))</f>
        <v/>
      </c>
      <c r="S19" s="26" t="str">
        <f aca="false">IF(OR($P19="",$C19=""),"",ROUND($R19*SIN(RADIANS(MIN(MOD(ABS($P19-$Q19),180),180-MOD(ABS($P19-$Q19),180)))),0))</f>
        <v/>
      </c>
      <c r="T19" s="8" t="str">
        <f aca="false">IF($S19="","",IF($S19&lt;=Assumptions!$B$17,"YES","NO"))</f>
        <v/>
      </c>
      <c r="U19" s="19"/>
      <c r="V19" s="19"/>
      <c r="W19" s="8" t="str">
        <f aca="false">IF(AND($U19="",$V19=""),"",IF(AND(N($U19)&lt;=Assumptions!$B$18,N($V19)&lt;=Assumptions!$B$19),"YES","NO"))</f>
        <v/>
      </c>
      <c r="X19" s="32"/>
      <c r="Y19" s="8" t="str">
        <f aca="false">IF($X19="","",IF($X19&lt;=Assumptions!$B$20,"YES","NO"))</f>
        <v/>
      </c>
      <c r="Z19" s="18"/>
      <c r="AA19" s="9"/>
      <c r="AB19" s="18"/>
      <c r="AC19" s="9"/>
      <c r="AD19" s="8" t="str">
        <f aca="false">IF($O19="","",IF(AND(IF(N($Z19)&lt;=0,TRUE(),N($AA19)&gt;=Assumptions!$B$21*N($Z19)),IF(N($AB19)&lt;=0,TRUE(),N($AC19)&gt;=Assumptions!$B$21*N($AB19))),"YES","NO"))</f>
        <v/>
      </c>
      <c r="AE19" s="26" t="str">
        <f aca="false">IF($O19="","",IF($O19="TOO SHORT",0,IF($O19="ALL-SEASON",40,25)+IF($S19="",0,MAX(0,ROUND(20*(1-$S19/Assumptions!$B$17),0)))+IF($W19="YES",15,0)+IF($Y19="YES",10,0)+IF($AD19="YES",15,0)))</f>
        <v/>
      </c>
      <c r="AF19" s="8" t="str">
        <f aca="false">IF($AE19="","",IF($O19="TOO SHORT","REJECT",IF($AE19&gt;=80,"STRONG",IF($AE19&gt;=55,"MARGINAL","WEAK"))))</f>
        <v/>
      </c>
      <c r="AG19" s="12"/>
    </row>
    <row r="20" customFormat="false" ht="15" hidden="false" customHeight="false" outlineLevel="0" collapsed="false">
      <c r="A20" s="12"/>
      <c r="B20" s="12"/>
      <c r="C20" s="12"/>
      <c r="D20" s="31"/>
      <c r="E20" s="9"/>
      <c r="F20" s="25" t="str">
        <f aca="false">IF(OR($D20="",$E20=""),"",$D20/MAX($E20,0.01))</f>
        <v/>
      </c>
      <c r="G20" s="9"/>
      <c r="H20" s="26" t="str">
        <f aca="false">IF($C20="","",INDEX(Assumptions!$B$25:$B$27,MATCH($C20,Assumptions!$A$25:$A$27,0)))</f>
        <v/>
      </c>
      <c r="I20" s="26" t="str">
        <f aca="false">IF($C20="","",INDEX(Assumptions!$C$25:$C$27,MATCH($C20,Assumptions!$A$25:$A$27,0)))</f>
        <v/>
      </c>
      <c r="J20" s="27" t="str">
        <f aca="false">IF(OR($G20="",$C20=""),"",ROUND($G20+120*((($H20-32)*5/9)-(15-1.98*$G20/1000)),0))</f>
        <v/>
      </c>
      <c r="K20" s="27" t="str">
        <f aca="false">IF(OR($G20="",$C20=""),"",ROUND($G20+120*((($I20-32)*5/9)-(15-1.98*$G20/1000)),0))</f>
        <v/>
      </c>
      <c r="L20" s="27" t="str">
        <f aca="false">IF($J20="","",ROUND(MAX(Assumptions!$B$10,Assumptions!$B$11)*POWER(1+Assumptions!$B$14,MAX($J20,0)/1000)*Assumptions!$B$15*Assumptions!$B$16,0))</f>
        <v/>
      </c>
      <c r="M20" s="27" t="str">
        <f aca="false">IF($K20="","",ROUND(MAX(Assumptions!$B$10,Assumptions!$B$11)*POWER(1+Assumptions!$B$14,MAX($K20,0)/1000)*Assumptions!$B$15*Assumptions!$B$16,0))</f>
        <v/>
      </c>
      <c r="N20" s="9"/>
      <c r="O20" s="8" t="str">
        <f aca="false">IF(OR($N20="",$L20=""),"",IF($N20&gt;=$L20,"ALL-SEASON",IF($N20&gt;=$M20,"COOL-DAY ONLY","TOO SHORT")))</f>
        <v/>
      </c>
      <c r="P20" s="18"/>
      <c r="Q20" s="26" t="str">
        <f aca="false">IF($C20="","",INDEX(Assumptions!$D$25:$D$27,MATCH($C20,Assumptions!$A$25:$A$27,0)))</f>
        <v/>
      </c>
      <c r="R20" s="26" t="str">
        <f aca="false">IF($C20="","",INDEX(Assumptions!$E$25:$E$27,MATCH($C20,Assumptions!$A$25:$A$27,0)))</f>
        <v/>
      </c>
      <c r="S20" s="26" t="str">
        <f aca="false">IF(OR($P20="",$C20=""),"",ROUND($R20*SIN(RADIANS(MIN(MOD(ABS($P20-$Q20),180),180-MOD(ABS($P20-$Q20),180)))),0))</f>
        <v/>
      </c>
      <c r="T20" s="8" t="str">
        <f aca="false">IF($S20="","",IF($S20&lt;=Assumptions!$B$17,"YES","NO"))</f>
        <v/>
      </c>
      <c r="U20" s="19"/>
      <c r="V20" s="19"/>
      <c r="W20" s="8" t="str">
        <f aca="false">IF(AND($U20="",$V20=""),"",IF(AND(N($U20)&lt;=Assumptions!$B$18,N($V20)&lt;=Assumptions!$B$19),"YES","NO"))</f>
        <v/>
      </c>
      <c r="X20" s="32"/>
      <c r="Y20" s="8" t="str">
        <f aca="false">IF($X20="","",IF($X20&lt;=Assumptions!$B$20,"YES","NO"))</f>
        <v/>
      </c>
      <c r="Z20" s="18"/>
      <c r="AA20" s="9"/>
      <c r="AB20" s="18"/>
      <c r="AC20" s="9"/>
      <c r="AD20" s="8" t="str">
        <f aca="false">IF($O20="","",IF(AND(IF(N($Z20)&lt;=0,TRUE(),N($AA20)&gt;=Assumptions!$B$21*N($Z20)),IF(N($AB20)&lt;=0,TRUE(),N($AC20)&gt;=Assumptions!$B$21*N($AB20))),"YES","NO"))</f>
        <v/>
      </c>
      <c r="AE20" s="26" t="str">
        <f aca="false">IF($O20="","",IF($O20="TOO SHORT",0,IF($O20="ALL-SEASON",40,25)+IF($S20="",0,MAX(0,ROUND(20*(1-$S20/Assumptions!$B$17),0)))+IF($W20="YES",15,0)+IF($Y20="YES",10,0)+IF($AD20="YES",15,0)))</f>
        <v/>
      </c>
      <c r="AF20" s="8" t="str">
        <f aca="false">IF($AE20="","",IF($O20="TOO SHORT","REJECT",IF($AE20&gt;=80,"STRONG",IF($AE20&gt;=55,"MARGINAL","WEAK"))))</f>
        <v/>
      </c>
      <c r="AG20" s="12"/>
    </row>
    <row r="21" customFormat="false" ht="15" hidden="false" customHeight="false" outlineLevel="0" collapsed="false">
      <c r="A21" s="12"/>
      <c r="B21" s="12"/>
      <c r="C21" s="12"/>
      <c r="D21" s="31"/>
      <c r="E21" s="9"/>
      <c r="F21" s="25" t="str">
        <f aca="false">IF(OR($D21="",$E21=""),"",$D21/MAX($E21,0.01))</f>
        <v/>
      </c>
      <c r="G21" s="9"/>
      <c r="H21" s="26" t="str">
        <f aca="false">IF($C21="","",INDEX(Assumptions!$B$25:$B$27,MATCH($C21,Assumptions!$A$25:$A$27,0)))</f>
        <v/>
      </c>
      <c r="I21" s="26" t="str">
        <f aca="false">IF($C21="","",INDEX(Assumptions!$C$25:$C$27,MATCH($C21,Assumptions!$A$25:$A$27,0)))</f>
        <v/>
      </c>
      <c r="J21" s="27" t="str">
        <f aca="false">IF(OR($G21="",$C21=""),"",ROUND($G21+120*((($H21-32)*5/9)-(15-1.98*$G21/1000)),0))</f>
        <v/>
      </c>
      <c r="K21" s="27" t="str">
        <f aca="false">IF(OR($G21="",$C21=""),"",ROUND($G21+120*((($I21-32)*5/9)-(15-1.98*$G21/1000)),0))</f>
        <v/>
      </c>
      <c r="L21" s="27" t="str">
        <f aca="false">IF($J21="","",ROUND(MAX(Assumptions!$B$10,Assumptions!$B$11)*POWER(1+Assumptions!$B$14,MAX($J21,0)/1000)*Assumptions!$B$15*Assumptions!$B$16,0))</f>
        <v/>
      </c>
      <c r="M21" s="27" t="str">
        <f aca="false">IF($K21="","",ROUND(MAX(Assumptions!$B$10,Assumptions!$B$11)*POWER(1+Assumptions!$B$14,MAX($K21,0)/1000)*Assumptions!$B$15*Assumptions!$B$16,0))</f>
        <v/>
      </c>
      <c r="N21" s="9"/>
      <c r="O21" s="8" t="str">
        <f aca="false">IF(OR($N21="",$L21=""),"",IF($N21&gt;=$L21,"ALL-SEASON",IF($N21&gt;=$M21,"COOL-DAY ONLY","TOO SHORT")))</f>
        <v/>
      </c>
      <c r="P21" s="18"/>
      <c r="Q21" s="26" t="str">
        <f aca="false">IF($C21="","",INDEX(Assumptions!$D$25:$D$27,MATCH($C21,Assumptions!$A$25:$A$27,0)))</f>
        <v/>
      </c>
      <c r="R21" s="26" t="str">
        <f aca="false">IF($C21="","",INDEX(Assumptions!$E$25:$E$27,MATCH($C21,Assumptions!$A$25:$A$27,0)))</f>
        <v/>
      </c>
      <c r="S21" s="26" t="str">
        <f aca="false">IF(OR($P21="",$C21=""),"",ROUND($R21*SIN(RADIANS(MIN(MOD(ABS($P21-$Q21),180),180-MOD(ABS($P21-$Q21),180)))),0))</f>
        <v/>
      </c>
      <c r="T21" s="8" t="str">
        <f aca="false">IF($S21="","",IF($S21&lt;=Assumptions!$B$17,"YES","NO"))</f>
        <v/>
      </c>
      <c r="U21" s="19"/>
      <c r="V21" s="19"/>
      <c r="W21" s="8" t="str">
        <f aca="false">IF(AND($U21="",$V21=""),"",IF(AND(N($U21)&lt;=Assumptions!$B$18,N($V21)&lt;=Assumptions!$B$19),"YES","NO"))</f>
        <v/>
      </c>
      <c r="X21" s="32"/>
      <c r="Y21" s="8" t="str">
        <f aca="false">IF($X21="","",IF($X21&lt;=Assumptions!$B$20,"YES","NO"))</f>
        <v/>
      </c>
      <c r="Z21" s="18"/>
      <c r="AA21" s="9"/>
      <c r="AB21" s="18"/>
      <c r="AC21" s="9"/>
      <c r="AD21" s="8" t="str">
        <f aca="false">IF($O21="","",IF(AND(IF(N($Z21)&lt;=0,TRUE(),N($AA21)&gt;=Assumptions!$B$21*N($Z21)),IF(N($AB21)&lt;=0,TRUE(),N($AC21)&gt;=Assumptions!$B$21*N($AB21))),"YES","NO"))</f>
        <v/>
      </c>
      <c r="AE21" s="26" t="str">
        <f aca="false">IF($O21="","",IF($O21="TOO SHORT",0,IF($O21="ALL-SEASON",40,25)+IF($S21="",0,MAX(0,ROUND(20*(1-$S21/Assumptions!$B$17),0)))+IF($W21="YES",15,0)+IF($Y21="YES",10,0)+IF($AD21="YES",15,0)))</f>
        <v/>
      </c>
      <c r="AF21" s="8" t="str">
        <f aca="false">IF($AE21="","",IF($O21="TOO SHORT","REJECT",IF($AE21&gt;=80,"STRONG",IF($AE21&gt;=55,"MARGINAL","WEAK"))))</f>
        <v/>
      </c>
      <c r="AG21" s="12"/>
    </row>
    <row r="22" customFormat="false" ht="15" hidden="false" customHeight="false" outlineLevel="0" collapsed="false">
      <c r="A22" s="12"/>
      <c r="B22" s="12"/>
      <c r="C22" s="12"/>
      <c r="D22" s="31"/>
      <c r="E22" s="9"/>
      <c r="F22" s="25" t="str">
        <f aca="false">IF(OR($D22="",$E22=""),"",$D22/MAX($E22,0.01))</f>
        <v/>
      </c>
      <c r="G22" s="9"/>
      <c r="H22" s="26" t="str">
        <f aca="false">IF($C22="","",INDEX(Assumptions!$B$25:$B$27,MATCH($C22,Assumptions!$A$25:$A$27,0)))</f>
        <v/>
      </c>
      <c r="I22" s="26" t="str">
        <f aca="false">IF($C22="","",INDEX(Assumptions!$C$25:$C$27,MATCH($C22,Assumptions!$A$25:$A$27,0)))</f>
        <v/>
      </c>
      <c r="J22" s="27" t="str">
        <f aca="false">IF(OR($G22="",$C22=""),"",ROUND($G22+120*((($H22-32)*5/9)-(15-1.98*$G22/1000)),0))</f>
        <v/>
      </c>
      <c r="K22" s="27" t="str">
        <f aca="false">IF(OR($G22="",$C22=""),"",ROUND($G22+120*((($I22-32)*5/9)-(15-1.98*$G22/1000)),0))</f>
        <v/>
      </c>
      <c r="L22" s="27" t="str">
        <f aca="false">IF($J22="","",ROUND(MAX(Assumptions!$B$10,Assumptions!$B$11)*POWER(1+Assumptions!$B$14,MAX($J22,0)/1000)*Assumptions!$B$15*Assumptions!$B$16,0))</f>
        <v/>
      </c>
      <c r="M22" s="27" t="str">
        <f aca="false">IF($K22="","",ROUND(MAX(Assumptions!$B$10,Assumptions!$B$11)*POWER(1+Assumptions!$B$14,MAX($K22,0)/1000)*Assumptions!$B$15*Assumptions!$B$16,0))</f>
        <v/>
      </c>
      <c r="N22" s="9"/>
      <c r="O22" s="8" t="str">
        <f aca="false">IF(OR($N22="",$L22=""),"",IF($N22&gt;=$L22,"ALL-SEASON",IF($N22&gt;=$M22,"COOL-DAY ONLY","TOO SHORT")))</f>
        <v/>
      </c>
      <c r="P22" s="18"/>
      <c r="Q22" s="26" t="str">
        <f aca="false">IF($C22="","",INDEX(Assumptions!$D$25:$D$27,MATCH($C22,Assumptions!$A$25:$A$27,0)))</f>
        <v/>
      </c>
      <c r="R22" s="26" t="str">
        <f aca="false">IF($C22="","",INDEX(Assumptions!$E$25:$E$27,MATCH($C22,Assumptions!$A$25:$A$27,0)))</f>
        <v/>
      </c>
      <c r="S22" s="26" t="str">
        <f aca="false">IF(OR($P22="",$C22=""),"",ROUND($R22*SIN(RADIANS(MIN(MOD(ABS($P22-$Q22),180),180-MOD(ABS($P22-$Q22),180)))),0))</f>
        <v/>
      </c>
      <c r="T22" s="8" t="str">
        <f aca="false">IF($S22="","",IF($S22&lt;=Assumptions!$B$17,"YES","NO"))</f>
        <v/>
      </c>
      <c r="U22" s="19"/>
      <c r="V22" s="19"/>
      <c r="W22" s="8" t="str">
        <f aca="false">IF(AND($U22="",$V22=""),"",IF(AND(N($U22)&lt;=Assumptions!$B$18,N($V22)&lt;=Assumptions!$B$19),"YES","NO"))</f>
        <v/>
      </c>
      <c r="X22" s="32"/>
      <c r="Y22" s="8" t="str">
        <f aca="false">IF($X22="","",IF($X22&lt;=Assumptions!$B$20,"YES","NO"))</f>
        <v/>
      </c>
      <c r="Z22" s="18"/>
      <c r="AA22" s="9"/>
      <c r="AB22" s="18"/>
      <c r="AC22" s="9"/>
      <c r="AD22" s="8" t="str">
        <f aca="false">IF($O22="","",IF(AND(IF(N($Z22)&lt;=0,TRUE(),N($AA22)&gt;=Assumptions!$B$21*N($Z22)),IF(N($AB22)&lt;=0,TRUE(),N($AC22)&gt;=Assumptions!$B$21*N($AB22))),"YES","NO"))</f>
        <v/>
      </c>
      <c r="AE22" s="26" t="str">
        <f aca="false">IF($O22="","",IF($O22="TOO SHORT",0,IF($O22="ALL-SEASON",40,25)+IF($S22="",0,MAX(0,ROUND(20*(1-$S22/Assumptions!$B$17),0)))+IF($W22="YES",15,0)+IF($Y22="YES",10,0)+IF($AD22="YES",15,0)))</f>
        <v/>
      </c>
      <c r="AF22" s="8" t="str">
        <f aca="false">IF($AE22="","",IF($O22="TOO SHORT","REJECT",IF($AE22&gt;=80,"STRONG",IF($AE22&gt;=55,"MARGINAL","WEAK"))))</f>
        <v/>
      </c>
      <c r="AG22" s="12"/>
    </row>
    <row r="23" customFormat="false" ht="15" hidden="false" customHeight="false" outlineLevel="0" collapsed="false">
      <c r="A23" s="12"/>
      <c r="B23" s="12"/>
      <c r="C23" s="12"/>
      <c r="D23" s="31"/>
      <c r="E23" s="9"/>
      <c r="F23" s="25" t="str">
        <f aca="false">IF(OR($D23="",$E23=""),"",$D23/MAX($E23,0.01))</f>
        <v/>
      </c>
      <c r="G23" s="9"/>
      <c r="H23" s="26" t="str">
        <f aca="false">IF($C23="","",INDEX(Assumptions!$B$25:$B$27,MATCH($C23,Assumptions!$A$25:$A$27,0)))</f>
        <v/>
      </c>
      <c r="I23" s="26" t="str">
        <f aca="false">IF($C23="","",INDEX(Assumptions!$C$25:$C$27,MATCH($C23,Assumptions!$A$25:$A$27,0)))</f>
        <v/>
      </c>
      <c r="J23" s="27" t="str">
        <f aca="false">IF(OR($G23="",$C23=""),"",ROUND($G23+120*((($H23-32)*5/9)-(15-1.98*$G23/1000)),0))</f>
        <v/>
      </c>
      <c r="K23" s="27" t="str">
        <f aca="false">IF(OR($G23="",$C23=""),"",ROUND($G23+120*((($I23-32)*5/9)-(15-1.98*$G23/1000)),0))</f>
        <v/>
      </c>
      <c r="L23" s="27" t="str">
        <f aca="false">IF($J23="","",ROUND(MAX(Assumptions!$B$10,Assumptions!$B$11)*POWER(1+Assumptions!$B$14,MAX($J23,0)/1000)*Assumptions!$B$15*Assumptions!$B$16,0))</f>
        <v/>
      </c>
      <c r="M23" s="27" t="str">
        <f aca="false">IF($K23="","",ROUND(MAX(Assumptions!$B$10,Assumptions!$B$11)*POWER(1+Assumptions!$B$14,MAX($K23,0)/1000)*Assumptions!$B$15*Assumptions!$B$16,0))</f>
        <v/>
      </c>
      <c r="N23" s="9"/>
      <c r="O23" s="8" t="str">
        <f aca="false">IF(OR($N23="",$L23=""),"",IF($N23&gt;=$L23,"ALL-SEASON",IF($N23&gt;=$M23,"COOL-DAY ONLY","TOO SHORT")))</f>
        <v/>
      </c>
      <c r="P23" s="18"/>
      <c r="Q23" s="26" t="str">
        <f aca="false">IF($C23="","",INDEX(Assumptions!$D$25:$D$27,MATCH($C23,Assumptions!$A$25:$A$27,0)))</f>
        <v/>
      </c>
      <c r="R23" s="26" t="str">
        <f aca="false">IF($C23="","",INDEX(Assumptions!$E$25:$E$27,MATCH($C23,Assumptions!$A$25:$A$27,0)))</f>
        <v/>
      </c>
      <c r="S23" s="26" t="str">
        <f aca="false">IF(OR($P23="",$C23=""),"",ROUND($R23*SIN(RADIANS(MIN(MOD(ABS($P23-$Q23),180),180-MOD(ABS($P23-$Q23),180)))),0))</f>
        <v/>
      </c>
      <c r="T23" s="8" t="str">
        <f aca="false">IF($S23="","",IF($S23&lt;=Assumptions!$B$17,"YES","NO"))</f>
        <v/>
      </c>
      <c r="U23" s="19"/>
      <c r="V23" s="19"/>
      <c r="W23" s="8" t="str">
        <f aca="false">IF(AND($U23="",$V23=""),"",IF(AND(N($U23)&lt;=Assumptions!$B$18,N($V23)&lt;=Assumptions!$B$19),"YES","NO"))</f>
        <v/>
      </c>
      <c r="X23" s="32"/>
      <c r="Y23" s="8" t="str">
        <f aca="false">IF($X23="","",IF($X23&lt;=Assumptions!$B$20,"YES","NO"))</f>
        <v/>
      </c>
      <c r="Z23" s="18"/>
      <c r="AA23" s="9"/>
      <c r="AB23" s="18"/>
      <c r="AC23" s="9"/>
      <c r="AD23" s="8" t="str">
        <f aca="false">IF($O23="","",IF(AND(IF(N($Z23)&lt;=0,TRUE(),N($AA23)&gt;=Assumptions!$B$21*N($Z23)),IF(N($AB23)&lt;=0,TRUE(),N($AC23)&gt;=Assumptions!$B$21*N($AB23))),"YES","NO"))</f>
        <v/>
      </c>
      <c r="AE23" s="26" t="str">
        <f aca="false">IF($O23="","",IF($O23="TOO SHORT",0,IF($O23="ALL-SEASON",40,25)+IF($S23="",0,MAX(0,ROUND(20*(1-$S23/Assumptions!$B$17),0)))+IF($W23="YES",15,0)+IF($Y23="YES",10,0)+IF($AD23="YES",15,0)))</f>
        <v/>
      </c>
      <c r="AF23" s="8" t="str">
        <f aca="false">IF($AE23="","",IF($O23="TOO SHORT","REJECT",IF($AE23&gt;=80,"STRONG",IF($AE23&gt;=55,"MARGINAL","WEAK"))))</f>
        <v/>
      </c>
      <c r="AG23" s="12"/>
    </row>
    <row r="24" customFormat="false" ht="15" hidden="false" customHeight="false" outlineLevel="0" collapsed="false">
      <c r="A24" s="12"/>
      <c r="B24" s="12"/>
      <c r="C24" s="12"/>
      <c r="D24" s="31"/>
      <c r="E24" s="9"/>
      <c r="F24" s="25" t="str">
        <f aca="false">IF(OR($D24="",$E24=""),"",$D24/MAX($E24,0.01))</f>
        <v/>
      </c>
      <c r="G24" s="9"/>
      <c r="H24" s="26" t="str">
        <f aca="false">IF($C24="","",INDEX(Assumptions!$B$25:$B$27,MATCH($C24,Assumptions!$A$25:$A$27,0)))</f>
        <v/>
      </c>
      <c r="I24" s="26" t="str">
        <f aca="false">IF($C24="","",INDEX(Assumptions!$C$25:$C$27,MATCH($C24,Assumptions!$A$25:$A$27,0)))</f>
        <v/>
      </c>
      <c r="J24" s="27" t="str">
        <f aca="false">IF(OR($G24="",$C24=""),"",ROUND($G24+120*((($H24-32)*5/9)-(15-1.98*$G24/1000)),0))</f>
        <v/>
      </c>
      <c r="K24" s="27" t="str">
        <f aca="false">IF(OR($G24="",$C24=""),"",ROUND($G24+120*((($I24-32)*5/9)-(15-1.98*$G24/1000)),0))</f>
        <v/>
      </c>
      <c r="L24" s="27" t="str">
        <f aca="false">IF($J24="","",ROUND(MAX(Assumptions!$B$10,Assumptions!$B$11)*POWER(1+Assumptions!$B$14,MAX($J24,0)/1000)*Assumptions!$B$15*Assumptions!$B$16,0))</f>
        <v/>
      </c>
      <c r="M24" s="27" t="str">
        <f aca="false">IF($K24="","",ROUND(MAX(Assumptions!$B$10,Assumptions!$B$11)*POWER(1+Assumptions!$B$14,MAX($K24,0)/1000)*Assumptions!$B$15*Assumptions!$B$16,0))</f>
        <v/>
      </c>
      <c r="N24" s="9"/>
      <c r="O24" s="8" t="str">
        <f aca="false">IF(OR($N24="",$L24=""),"",IF($N24&gt;=$L24,"ALL-SEASON",IF($N24&gt;=$M24,"COOL-DAY ONLY","TOO SHORT")))</f>
        <v/>
      </c>
      <c r="P24" s="18"/>
      <c r="Q24" s="26" t="str">
        <f aca="false">IF($C24="","",INDEX(Assumptions!$D$25:$D$27,MATCH($C24,Assumptions!$A$25:$A$27,0)))</f>
        <v/>
      </c>
      <c r="R24" s="26" t="str">
        <f aca="false">IF($C24="","",INDEX(Assumptions!$E$25:$E$27,MATCH($C24,Assumptions!$A$25:$A$27,0)))</f>
        <v/>
      </c>
      <c r="S24" s="26" t="str">
        <f aca="false">IF(OR($P24="",$C24=""),"",ROUND($R24*SIN(RADIANS(MIN(MOD(ABS($P24-$Q24),180),180-MOD(ABS($P24-$Q24),180)))),0))</f>
        <v/>
      </c>
      <c r="T24" s="8" t="str">
        <f aca="false">IF($S24="","",IF($S24&lt;=Assumptions!$B$17,"YES","NO"))</f>
        <v/>
      </c>
      <c r="U24" s="19"/>
      <c r="V24" s="19"/>
      <c r="W24" s="8" t="str">
        <f aca="false">IF(AND($U24="",$V24=""),"",IF(AND(N($U24)&lt;=Assumptions!$B$18,N($V24)&lt;=Assumptions!$B$19),"YES","NO"))</f>
        <v/>
      </c>
      <c r="X24" s="32"/>
      <c r="Y24" s="8" t="str">
        <f aca="false">IF($X24="","",IF($X24&lt;=Assumptions!$B$20,"YES","NO"))</f>
        <v/>
      </c>
      <c r="Z24" s="18"/>
      <c r="AA24" s="9"/>
      <c r="AB24" s="18"/>
      <c r="AC24" s="9"/>
      <c r="AD24" s="8" t="str">
        <f aca="false">IF($O24="","",IF(AND(IF(N($Z24)&lt;=0,TRUE(),N($AA24)&gt;=Assumptions!$B$21*N($Z24)),IF(N($AB24)&lt;=0,TRUE(),N($AC24)&gt;=Assumptions!$B$21*N($AB24))),"YES","NO"))</f>
        <v/>
      </c>
      <c r="AE24" s="26" t="str">
        <f aca="false">IF($O24="","",IF($O24="TOO SHORT",0,IF($O24="ALL-SEASON",40,25)+IF($S24="",0,MAX(0,ROUND(20*(1-$S24/Assumptions!$B$17),0)))+IF($W24="YES",15,0)+IF($Y24="YES",10,0)+IF($AD24="YES",15,0)))</f>
        <v/>
      </c>
      <c r="AF24" s="8" t="str">
        <f aca="false">IF($AE24="","",IF($O24="TOO SHORT","REJECT",IF($AE24&gt;=80,"STRONG",IF($AE24&gt;=55,"MARGINAL","WEAK"))))</f>
        <v/>
      </c>
      <c r="AG24" s="12"/>
    </row>
    <row r="25" customFormat="false" ht="15" hidden="false" customHeight="false" outlineLevel="0" collapsed="false">
      <c r="A25" s="12"/>
      <c r="B25" s="12"/>
      <c r="C25" s="12"/>
      <c r="D25" s="31"/>
      <c r="E25" s="9"/>
      <c r="F25" s="25" t="str">
        <f aca="false">IF(OR($D25="",$E25=""),"",$D25/MAX($E25,0.01))</f>
        <v/>
      </c>
      <c r="G25" s="9"/>
      <c r="H25" s="26" t="str">
        <f aca="false">IF($C25="","",INDEX(Assumptions!$B$25:$B$27,MATCH($C25,Assumptions!$A$25:$A$27,0)))</f>
        <v/>
      </c>
      <c r="I25" s="26" t="str">
        <f aca="false">IF($C25="","",INDEX(Assumptions!$C$25:$C$27,MATCH($C25,Assumptions!$A$25:$A$27,0)))</f>
        <v/>
      </c>
      <c r="J25" s="27" t="str">
        <f aca="false">IF(OR($G25="",$C25=""),"",ROUND($G25+120*((($H25-32)*5/9)-(15-1.98*$G25/1000)),0))</f>
        <v/>
      </c>
      <c r="K25" s="27" t="str">
        <f aca="false">IF(OR($G25="",$C25=""),"",ROUND($G25+120*((($I25-32)*5/9)-(15-1.98*$G25/1000)),0))</f>
        <v/>
      </c>
      <c r="L25" s="27" t="str">
        <f aca="false">IF($J25="","",ROUND(MAX(Assumptions!$B$10,Assumptions!$B$11)*POWER(1+Assumptions!$B$14,MAX($J25,0)/1000)*Assumptions!$B$15*Assumptions!$B$16,0))</f>
        <v/>
      </c>
      <c r="M25" s="27" t="str">
        <f aca="false">IF($K25="","",ROUND(MAX(Assumptions!$B$10,Assumptions!$B$11)*POWER(1+Assumptions!$B$14,MAX($K25,0)/1000)*Assumptions!$B$15*Assumptions!$B$16,0))</f>
        <v/>
      </c>
      <c r="N25" s="9"/>
      <c r="O25" s="8" t="str">
        <f aca="false">IF(OR($N25="",$L25=""),"",IF($N25&gt;=$L25,"ALL-SEASON",IF($N25&gt;=$M25,"COOL-DAY ONLY","TOO SHORT")))</f>
        <v/>
      </c>
      <c r="P25" s="18"/>
      <c r="Q25" s="26" t="str">
        <f aca="false">IF($C25="","",INDEX(Assumptions!$D$25:$D$27,MATCH($C25,Assumptions!$A$25:$A$27,0)))</f>
        <v/>
      </c>
      <c r="R25" s="26" t="str">
        <f aca="false">IF($C25="","",INDEX(Assumptions!$E$25:$E$27,MATCH($C25,Assumptions!$A$25:$A$27,0)))</f>
        <v/>
      </c>
      <c r="S25" s="26" t="str">
        <f aca="false">IF(OR($P25="",$C25=""),"",ROUND($R25*SIN(RADIANS(MIN(MOD(ABS($P25-$Q25),180),180-MOD(ABS($P25-$Q25),180)))),0))</f>
        <v/>
      </c>
      <c r="T25" s="8" t="str">
        <f aca="false">IF($S25="","",IF($S25&lt;=Assumptions!$B$17,"YES","NO"))</f>
        <v/>
      </c>
      <c r="U25" s="19"/>
      <c r="V25" s="19"/>
      <c r="W25" s="8" t="str">
        <f aca="false">IF(AND($U25="",$V25=""),"",IF(AND(N($U25)&lt;=Assumptions!$B$18,N($V25)&lt;=Assumptions!$B$19),"YES","NO"))</f>
        <v/>
      </c>
      <c r="X25" s="32"/>
      <c r="Y25" s="8" t="str">
        <f aca="false">IF($X25="","",IF($X25&lt;=Assumptions!$B$20,"YES","NO"))</f>
        <v/>
      </c>
      <c r="Z25" s="18"/>
      <c r="AA25" s="9"/>
      <c r="AB25" s="18"/>
      <c r="AC25" s="9"/>
      <c r="AD25" s="8" t="str">
        <f aca="false">IF($O25="","",IF(AND(IF(N($Z25)&lt;=0,TRUE(),N($AA25)&gt;=Assumptions!$B$21*N($Z25)),IF(N($AB25)&lt;=0,TRUE(),N($AC25)&gt;=Assumptions!$B$21*N($AB25))),"YES","NO"))</f>
        <v/>
      </c>
      <c r="AE25" s="26" t="str">
        <f aca="false">IF($O25="","",IF($O25="TOO SHORT",0,IF($O25="ALL-SEASON",40,25)+IF($S25="",0,MAX(0,ROUND(20*(1-$S25/Assumptions!$B$17),0)))+IF($W25="YES",15,0)+IF($Y25="YES",10,0)+IF($AD25="YES",15,0)))</f>
        <v/>
      </c>
      <c r="AF25" s="8" t="str">
        <f aca="false">IF($AE25="","",IF($O25="TOO SHORT","REJECT",IF($AE25&gt;=80,"STRONG",IF($AE25&gt;=55,"MARGINAL","WEAK"))))</f>
        <v/>
      </c>
      <c r="AG25" s="12"/>
    </row>
    <row r="26" customFormat="false" ht="15" hidden="false" customHeight="false" outlineLevel="0" collapsed="false">
      <c r="A26" s="12"/>
      <c r="B26" s="12"/>
      <c r="C26" s="12"/>
      <c r="D26" s="31"/>
      <c r="E26" s="9"/>
      <c r="F26" s="25" t="str">
        <f aca="false">IF(OR($D26="",$E26=""),"",$D26/MAX($E26,0.01))</f>
        <v/>
      </c>
      <c r="G26" s="9"/>
      <c r="H26" s="26" t="str">
        <f aca="false">IF($C26="","",INDEX(Assumptions!$B$25:$B$27,MATCH($C26,Assumptions!$A$25:$A$27,0)))</f>
        <v/>
      </c>
      <c r="I26" s="26" t="str">
        <f aca="false">IF($C26="","",INDEX(Assumptions!$C$25:$C$27,MATCH($C26,Assumptions!$A$25:$A$27,0)))</f>
        <v/>
      </c>
      <c r="J26" s="27" t="str">
        <f aca="false">IF(OR($G26="",$C26=""),"",ROUND($G26+120*((($H26-32)*5/9)-(15-1.98*$G26/1000)),0))</f>
        <v/>
      </c>
      <c r="K26" s="27" t="str">
        <f aca="false">IF(OR($G26="",$C26=""),"",ROUND($G26+120*((($I26-32)*5/9)-(15-1.98*$G26/1000)),0))</f>
        <v/>
      </c>
      <c r="L26" s="27" t="str">
        <f aca="false">IF($J26="","",ROUND(MAX(Assumptions!$B$10,Assumptions!$B$11)*POWER(1+Assumptions!$B$14,MAX($J26,0)/1000)*Assumptions!$B$15*Assumptions!$B$16,0))</f>
        <v/>
      </c>
      <c r="M26" s="27" t="str">
        <f aca="false">IF($K26="","",ROUND(MAX(Assumptions!$B$10,Assumptions!$B$11)*POWER(1+Assumptions!$B$14,MAX($K26,0)/1000)*Assumptions!$B$15*Assumptions!$B$16,0))</f>
        <v/>
      </c>
      <c r="N26" s="9"/>
      <c r="O26" s="8" t="str">
        <f aca="false">IF(OR($N26="",$L26=""),"",IF($N26&gt;=$L26,"ALL-SEASON",IF($N26&gt;=$M26,"COOL-DAY ONLY","TOO SHORT")))</f>
        <v/>
      </c>
      <c r="P26" s="18"/>
      <c r="Q26" s="26" t="str">
        <f aca="false">IF($C26="","",INDEX(Assumptions!$D$25:$D$27,MATCH($C26,Assumptions!$A$25:$A$27,0)))</f>
        <v/>
      </c>
      <c r="R26" s="26" t="str">
        <f aca="false">IF($C26="","",INDEX(Assumptions!$E$25:$E$27,MATCH($C26,Assumptions!$A$25:$A$27,0)))</f>
        <v/>
      </c>
      <c r="S26" s="26" t="str">
        <f aca="false">IF(OR($P26="",$C26=""),"",ROUND($R26*SIN(RADIANS(MIN(MOD(ABS($P26-$Q26),180),180-MOD(ABS($P26-$Q26),180)))),0))</f>
        <v/>
      </c>
      <c r="T26" s="8" t="str">
        <f aca="false">IF($S26="","",IF($S26&lt;=Assumptions!$B$17,"YES","NO"))</f>
        <v/>
      </c>
      <c r="U26" s="19"/>
      <c r="V26" s="19"/>
      <c r="W26" s="8" t="str">
        <f aca="false">IF(AND($U26="",$V26=""),"",IF(AND(N($U26)&lt;=Assumptions!$B$18,N($V26)&lt;=Assumptions!$B$19),"YES","NO"))</f>
        <v/>
      </c>
      <c r="X26" s="32"/>
      <c r="Y26" s="8" t="str">
        <f aca="false">IF($X26="","",IF($X26&lt;=Assumptions!$B$20,"YES","NO"))</f>
        <v/>
      </c>
      <c r="Z26" s="18"/>
      <c r="AA26" s="9"/>
      <c r="AB26" s="18"/>
      <c r="AC26" s="9"/>
      <c r="AD26" s="8" t="str">
        <f aca="false">IF($O26="","",IF(AND(IF(N($Z26)&lt;=0,TRUE(),N($AA26)&gt;=Assumptions!$B$21*N($Z26)),IF(N($AB26)&lt;=0,TRUE(),N($AC26)&gt;=Assumptions!$B$21*N($AB26))),"YES","NO"))</f>
        <v/>
      </c>
      <c r="AE26" s="26" t="str">
        <f aca="false">IF($O26="","",IF($O26="TOO SHORT",0,IF($O26="ALL-SEASON",40,25)+IF($S26="",0,MAX(0,ROUND(20*(1-$S26/Assumptions!$B$17),0)))+IF($W26="YES",15,0)+IF($Y26="YES",10,0)+IF($AD26="YES",15,0)))</f>
        <v/>
      </c>
      <c r="AF26" s="8" t="str">
        <f aca="false">IF($AE26="","",IF($O26="TOO SHORT","REJECT",IF($AE26&gt;=80,"STRONG",IF($AE26&gt;=55,"MARGINAL","WEAK"))))</f>
        <v/>
      </c>
      <c r="AG26" s="12"/>
    </row>
    <row r="27" customFormat="false" ht="15" hidden="false" customHeight="false" outlineLevel="0" collapsed="false">
      <c r="A27" s="12"/>
      <c r="B27" s="12"/>
      <c r="C27" s="12"/>
      <c r="D27" s="31"/>
      <c r="E27" s="9"/>
      <c r="F27" s="25" t="str">
        <f aca="false">IF(OR($D27="",$E27=""),"",$D27/MAX($E27,0.01))</f>
        <v/>
      </c>
      <c r="G27" s="9"/>
      <c r="H27" s="26" t="str">
        <f aca="false">IF($C27="","",INDEX(Assumptions!$B$25:$B$27,MATCH($C27,Assumptions!$A$25:$A$27,0)))</f>
        <v/>
      </c>
      <c r="I27" s="26" t="str">
        <f aca="false">IF($C27="","",INDEX(Assumptions!$C$25:$C$27,MATCH($C27,Assumptions!$A$25:$A$27,0)))</f>
        <v/>
      </c>
      <c r="J27" s="27" t="str">
        <f aca="false">IF(OR($G27="",$C27=""),"",ROUND($G27+120*((($H27-32)*5/9)-(15-1.98*$G27/1000)),0))</f>
        <v/>
      </c>
      <c r="K27" s="27" t="str">
        <f aca="false">IF(OR($G27="",$C27=""),"",ROUND($G27+120*((($I27-32)*5/9)-(15-1.98*$G27/1000)),0))</f>
        <v/>
      </c>
      <c r="L27" s="27" t="str">
        <f aca="false">IF($J27="","",ROUND(MAX(Assumptions!$B$10,Assumptions!$B$11)*POWER(1+Assumptions!$B$14,MAX($J27,0)/1000)*Assumptions!$B$15*Assumptions!$B$16,0))</f>
        <v/>
      </c>
      <c r="M27" s="27" t="str">
        <f aca="false">IF($K27="","",ROUND(MAX(Assumptions!$B$10,Assumptions!$B$11)*POWER(1+Assumptions!$B$14,MAX($K27,0)/1000)*Assumptions!$B$15*Assumptions!$B$16,0))</f>
        <v/>
      </c>
      <c r="N27" s="9"/>
      <c r="O27" s="8" t="str">
        <f aca="false">IF(OR($N27="",$L27=""),"",IF($N27&gt;=$L27,"ALL-SEASON",IF($N27&gt;=$M27,"COOL-DAY ONLY","TOO SHORT")))</f>
        <v/>
      </c>
      <c r="P27" s="18"/>
      <c r="Q27" s="26" t="str">
        <f aca="false">IF($C27="","",INDEX(Assumptions!$D$25:$D$27,MATCH($C27,Assumptions!$A$25:$A$27,0)))</f>
        <v/>
      </c>
      <c r="R27" s="26" t="str">
        <f aca="false">IF($C27="","",INDEX(Assumptions!$E$25:$E$27,MATCH($C27,Assumptions!$A$25:$A$27,0)))</f>
        <v/>
      </c>
      <c r="S27" s="26" t="str">
        <f aca="false">IF(OR($P27="",$C27=""),"",ROUND($R27*SIN(RADIANS(MIN(MOD(ABS($P27-$Q27),180),180-MOD(ABS($P27-$Q27),180)))),0))</f>
        <v/>
      </c>
      <c r="T27" s="8" t="str">
        <f aca="false">IF($S27="","",IF($S27&lt;=Assumptions!$B$17,"YES","NO"))</f>
        <v/>
      </c>
      <c r="U27" s="19"/>
      <c r="V27" s="19"/>
      <c r="W27" s="8" t="str">
        <f aca="false">IF(AND($U27="",$V27=""),"",IF(AND(N($U27)&lt;=Assumptions!$B$18,N($V27)&lt;=Assumptions!$B$19),"YES","NO"))</f>
        <v/>
      </c>
      <c r="X27" s="32"/>
      <c r="Y27" s="8" t="str">
        <f aca="false">IF($X27="","",IF($X27&lt;=Assumptions!$B$20,"YES","NO"))</f>
        <v/>
      </c>
      <c r="Z27" s="18"/>
      <c r="AA27" s="9"/>
      <c r="AB27" s="18"/>
      <c r="AC27" s="9"/>
      <c r="AD27" s="8" t="str">
        <f aca="false">IF($O27="","",IF(AND(IF(N($Z27)&lt;=0,TRUE(),N($AA27)&gt;=Assumptions!$B$21*N($Z27)),IF(N($AB27)&lt;=0,TRUE(),N($AC27)&gt;=Assumptions!$B$21*N($AB27))),"YES","NO"))</f>
        <v/>
      </c>
      <c r="AE27" s="26" t="str">
        <f aca="false">IF($O27="","",IF($O27="TOO SHORT",0,IF($O27="ALL-SEASON",40,25)+IF($S27="",0,MAX(0,ROUND(20*(1-$S27/Assumptions!$B$17),0)))+IF($W27="YES",15,0)+IF($Y27="YES",10,0)+IF($AD27="YES",15,0)))</f>
        <v/>
      </c>
      <c r="AF27" s="8" t="str">
        <f aca="false">IF($AE27="","",IF($O27="TOO SHORT","REJECT",IF($AE27&gt;=80,"STRONG",IF($AE27&gt;=55,"MARGINAL","WEAK"))))</f>
        <v/>
      </c>
      <c r="AG27" s="12"/>
    </row>
    <row r="28" customFormat="false" ht="15" hidden="false" customHeight="false" outlineLevel="0" collapsed="false">
      <c r="A28" s="12"/>
      <c r="B28" s="12"/>
      <c r="C28" s="12"/>
      <c r="D28" s="31"/>
      <c r="E28" s="9"/>
      <c r="F28" s="25" t="str">
        <f aca="false">IF(OR($D28="",$E28=""),"",$D28/MAX($E28,0.01))</f>
        <v/>
      </c>
      <c r="G28" s="9"/>
      <c r="H28" s="26" t="str">
        <f aca="false">IF($C28="","",INDEX(Assumptions!$B$25:$B$27,MATCH($C28,Assumptions!$A$25:$A$27,0)))</f>
        <v/>
      </c>
      <c r="I28" s="26" t="str">
        <f aca="false">IF($C28="","",INDEX(Assumptions!$C$25:$C$27,MATCH($C28,Assumptions!$A$25:$A$27,0)))</f>
        <v/>
      </c>
      <c r="J28" s="27" t="str">
        <f aca="false">IF(OR($G28="",$C28=""),"",ROUND($G28+120*((($H28-32)*5/9)-(15-1.98*$G28/1000)),0))</f>
        <v/>
      </c>
      <c r="K28" s="27" t="str">
        <f aca="false">IF(OR($G28="",$C28=""),"",ROUND($G28+120*((($I28-32)*5/9)-(15-1.98*$G28/1000)),0))</f>
        <v/>
      </c>
      <c r="L28" s="27" t="str">
        <f aca="false">IF($J28="","",ROUND(MAX(Assumptions!$B$10,Assumptions!$B$11)*POWER(1+Assumptions!$B$14,MAX($J28,0)/1000)*Assumptions!$B$15*Assumptions!$B$16,0))</f>
        <v/>
      </c>
      <c r="M28" s="27" t="str">
        <f aca="false">IF($K28="","",ROUND(MAX(Assumptions!$B$10,Assumptions!$B$11)*POWER(1+Assumptions!$B$14,MAX($K28,0)/1000)*Assumptions!$B$15*Assumptions!$B$16,0))</f>
        <v/>
      </c>
      <c r="N28" s="9"/>
      <c r="O28" s="8" t="str">
        <f aca="false">IF(OR($N28="",$L28=""),"",IF($N28&gt;=$L28,"ALL-SEASON",IF($N28&gt;=$M28,"COOL-DAY ONLY","TOO SHORT")))</f>
        <v/>
      </c>
      <c r="P28" s="18"/>
      <c r="Q28" s="26" t="str">
        <f aca="false">IF($C28="","",INDEX(Assumptions!$D$25:$D$27,MATCH($C28,Assumptions!$A$25:$A$27,0)))</f>
        <v/>
      </c>
      <c r="R28" s="26" t="str">
        <f aca="false">IF($C28="","",INDEX(Assumptions!$E$25:$E$27,MATCH($C28,Assumptions!$A$25:$A$27,0)))</f>
        <v/>
      </c>
      <c r="S28" s="26" t="str">
        <f aca="false">IF(OR($P28="",$C28=""),"",ROUND($R28*SIN(RADIANS(MIN(MOD(ABS($P28-$Q28),180),180-MOD(ABS($P28-$Q28),180)))),0))</f>
        <v/>
      </c>
      <c r="T28" s="8" t="str">
        <f aca="false">IF($S28="","",IF($S28&lt;=Assumptions!$B$17,"YES","NO"))</f>
        <v/>
      </c>
      <c r="U28" s="19"/>
      <c r="V28" s="19"/>
      <c r="W28" s="8" t="str">
        <f aca="false">IF(AND($U28="",$V28=""),"",IF(AND(N($U28)&lt;=Assumptions!$B$18,N($V28)&lt;=Assumptions!$B$19),"YES","NO"))</f>
        <v/>
      </c>
      <c r="X28" s="32"/>
      <c r="Y28" s="8" t="str">
        <f aca="false">IF($X28="","",IF($X28&lt;=Assumptions!$B$20,"YES","NO"))</f>
        <v/>
      </c>
      <c r="Z28" s="18"/>
      <c r="AA28" s="9"/>
      <c r="AB28" s="18"/>
      <c r="AC28" s="9"/>
      <c r="AD28" s="8" t="str">
        <f aca="false">IF($O28="","",IF(AND(IF(N($Z28)&lt;=0,TRUE(),N($AA28)&gt;=Assumptions!$B$21*N($Z28)),IF(N($AB28)&lt;=0,TRUE(),N($AC28)&gt;=Assumptions!$B$21*N($AB28))),"YES","NO"))</f>
        <v/>
      </c>
      <c r="AE28" s="26" t="str">
        <f aca="false">IF($O28="","",IF($O28="TOO SHORT",0,IF($O28="ALL-SEASON",40,25)+IF($S28="",0,MAX(0,ROUND(20*(1-$S28/Assumptions!$B$17),0)))+IF($W28="YES",15,0)+IF($Y28="YES",10,0)+IF($AD28="YES",15,0)))</f>
        <v/>
      </c>
      <c r="AF28" s="8" t="str">
        <f aca="false">IF($AE28="","",IF($O28="TOO SHORT","REJECT",IF($AE28&gt;=80,"STRONG",IF($AE28&gt;=55,"MARGINAL","WEAK"))))</f>
        <v/>
      </c>
      <c r="AG28" s="12"/>
    </row>
    <row r="29" customFormat="false" ht="15" hidden="false" customHeight="false" outlineLevel="0" collapsed="false">
      <c r="A29" s="12"/>
      <c r="B29" s="12"/>
      <c r="C29" s="12"/>
      <c r="D29" s="31"/>
      <c r="E29" s="9"/>
      <c r="F29" s="25" t="str">
        <f aca="false">IF(OR($D29="",$E29=""),"",$D29/MAX($E29,0.01))</f>
        <v/>
      </c>
      <c r="G29" s="9"/>
      <c r="H29" s="26" t="str">
        <f aca="false">IF($C29="","",INDEX(Assumptions!$B$25:$B$27,MATCH($C29,Assumptions!$A$25:$A$27,0)))</f>
        <v/>
      </c>
      <c r="I29" s="26" t="str">
        <f aca="false">IF($C29="","",INDEX(Assumptions!$C$25:$C$27,MATCH($C29,Assumptions!$A$25:$A$27,0)))</f>
        <v/>
      </c>
      <c r="J29" s="27" t="str">
        <f aca="false">IF(OR($G29="",$C29=""),"",ROUND($G29+120*((($H29-32)*5/9)-(15-1.98*$G29/1000)),0))</f>
        <v/>
      </c>
      <c r="K29" s="27" t="str">
        <f aca="false">IF(OR($G29="",$C29=""),"",ROUND($G29+120*((($I29-32)*5/9)-(15-1.98*$G29/1000)),0))</f>
        <v/>
      </c>
      <c r="L29" s="27" t="str">
        <f aca="false">IF($J29="","",ROUND(MAX(Assumptions!$B$10,Assumptions!$B$11)*POWER(1+Assumptions!$B$14,MAX($J29,0)/1000)*Assumptions!$B$15*Assumptions!$B$16,0))</f>
        <v/>
      </c>
      <c r="M29" s="27" t="str">
        <f aca="false">IF($K29="","",ROUND(MAX(Assumptions!$B$10,Assumptions!$B$11)*POWER(1+Assumptions!$B$14,MAX($K29,0)/1000)*Assumptions!$B$15*Assumptions!$B$16,0))</f>
        <v/>
      </c>
      <c r="N29" s="9"/>
      <c r="O29" s="8" t="str">
        <f aca="false">IF(OR($N29="",$L29=""),"",IF($N29&gt;=$L29,"ALL-SEASON",IF($N29&gt;=$M29,"COOL-DAY ONLY","TOO SHORT")))</f>
        <v/>
      </c>
      <c r="P29" s="18"/>
      <c r="Q29" s="26" t="str">
        <f aca="false">IF($C29="","",INDEX(Assumptions!$D$25:$D$27,MATCH($C29,Assumptions!$A$25:$A$27,0)))</f>
        <v/>
      </c>
      <c r="R29" s="26" t="str">
        <f aca="false">IF($C29="","",INDEX(Assumptions!$E$25:$E$27,MATCH($C29,Assumptions!$A$25:$A$27,0)))</f>
        <v/>
      </c>
      <c r="S29" s="26" t="str">
        <f aca="false">IF(OR($P29="",$C29=""),"",ROUND($R29*SIN(RADIANS(MIN(MOD(ABS($P29-$Q29),180),180-MOD(ABS($P29-$Q29),180)))),0))</f>
        <v/>
      </c>
      <c r="T29" s="8" t="str">
        <f aca="false">IF($S29="","",IF($S29&lt;=Assumptions!$B$17,"YES","NO"))</f>
        <v/>
      </c>
      <c r="U29" s="19"/>
      <c r="V29" s="19"/>
      <c r="W29" s="8" t="str">
        <f aca="false">IF(AND($U29="",$V29=""),"",IF(AND(N($U29)&lt;=Assumptions!$B$18,N($V29)&lt;=Assumptions!$B$19),"YES","NO"))</f>
        <v/>
      </c>
      <c r="X29" s="32"/>
      <c r="Y29" s="8" t="str">
        <f aca="false">IF($X29="","",IF($X29&lt;=Assumptions!$B$20,"YES","NO"))</f>
        <v/>
      </c>
      <c r="Z29" s="18"/>
      <c r="AA29" s="9"/>
      <c r="AB29" s="18"/>
      <c r="AC29" s="9"/>
      <c r="AD29" s="8" t="str">
        <f aca="false">IF($O29="","",IF(AND(IF(N($Z29)&lt;=0,TRUE(),N($AA29)&gt;=Assumptions!$B$21*N($Z29)),IF(N($AB29)&lt;=0,TRUE(),N($AC29)&gt;=Assumptions!$B$21*N($AB29))),"YES","NO"))</f>
        <v/>
      </c>
      <c r="AE29" s="26" t="str">
        <f aca="false">IF($O29="","",IF($O29="TOO SHORT",0,IF($O29="ALL-SEASON",40,25)+IF($S29="",0,MAX(0,ROUND(20*(1-$S29/Assumptions!$B$17),0)))+IF($W29="YES",15,0)+IF($Y29="YES",10,0)+IF($AD29="YES",15,0)))</f>
        <v/>
      </c>
      <c r="AF29" s="8" t="str">
        <f aca="false">IF($AE29="","",IF($O29="TOO SHORT","REJECT",IF($AE29&gt;=80,"STRONG",IF($AE29&gt;=55,"MARGINAL","WEAK"))))</f>
        <v/>
      </c>
      <c r="AG29" s="12"/>
    </row>
    <row r="30" customFormat="false" ht="15" hidden="false" customHeight="false" outlineLevel="0" collapsed="false">
      <c r="A30" s="12"/>
      <c r="B30" s="12"/>
      <c r="C30" s="12"/>
      <c r="D30" s="31"/>
      <c r="E30" s="9"/>
      <c r="F30" s="25" t="str">
        <f aca="false">IF(OR($D30="",$E30=""),"",$D30/MAX($E30,0.01))</f>
        <v/>
      </c>
      <c r="G30" s="9"/>
      <c r="H30" s="26" t="str">
        <f aca="false">IF($C30="","",INDEX(Assumptions!$B$25:$B$27,MATCH($C30,Assumptions!$A$25:$A$27,0)))</f>
        <v/>
      </c>
      <c r="I30" s="26" t="str">
        <f aca="false">IF($C30="","",INDEX(Assumptions!$C$25:$C$27,MATCH($C30,Assumptions!$A$25:$A$27,0)))</f>
        <v/>
      </c>
      <c r="J30" s="27" t="str">
        <f aca="false">IF(OR($G30="",$C30=""),"",ROUND($G30+120*((($H30-32)*5/9)-(15-1.98*$G30/1000)),0))</f>
        <v/>
      </c>
      <c r="K30" s="27" t="str">
        <f aca="false">IF(OR($G30="",$C30=""),"",ROUND($G30+120*((($I30-32)*5/9)-(15-1.98*$G30/1000)),0))</f>
        <v/>
      </c>
      <c r="L30" s="27" t="str">
        <f aca="false">IF($J30="","",ROUND(MAX(Assumptions!$B$10,Assumptions!$B$11)*POWER(1+Assumptions!$B$14,MAX($J30,0)/1000)*Assumptions!$B$15*Assumptions!$B$16,0))</f>
        <v/>
      </c>
      <c r="M30" s="27" t="str">
        <f aca="false">IF($K30="","",ROUND(MAX(Assumptions!$B$10,Assumptions!$B$11)*POWER(1+Assumptions!$B$14,MAX($K30,0)/1000)*Assumptions!$B$15*Assumptions!$B$16,0))</f>
        <v/>
      </c>
      <c r="N30" s="9"/>
      <c r="O30" s="8" t="str">
        <f aca="false">IF(OR($N30="",$L30=""),"",IF($N30&gt;=$L30,"ALL-SEASON",IF($N30&gt;=$M30,"COOL-DAY ONLY","TOO SHORT")))</f>
        <v/>
      </c>
      <c r="P30" s="18"/>
      <c r="Q30" s="26" t="str">
        <f aca="false">IF($C30="","",INDEX(Assumptions!$D$25:$D$27,MATCH($C30,Assumptions!$A$25:$A$27,0)))</f>
        <v/>
      </c>
      <c r="R30" s="26" t="str">
        <f aca="false">IF($C30="","",INDEX(Assumptions!$E$25:$E$27,MATCH($C30,Assumptions!$A$25:$A$27,0)))</f>
        <v/>
      </c>
      <c r="S30" s="26" t="str">
        <f aca="false">IF(OR($P30="",$C30=""),"",ROUND($R30*SIN(RADIANS(MIN(MOD(ABS($P30-$Q30),180),180-MOD(ABS($P30-$Q30),180)))),0))</f>
        <v/>
      </c>
      <c r="T30" s="8" t="str">
        <f aca="false">IF($S30="","",IF($S30&lt;=Assumptions!$B$17,"YES","NO"))</f>
        <v/>
      </c>
      <c r="U30" s="19"/>
      <c r="V30" s="19"/>
      <c r="W30" s="8" t="str">
        <f aca="false">IF(AND($U30="",$V30=""),"",IF(AND(N($U30)&lt;=Assumptions!$B$18,N($V30)&lt;=Assumptions!$B$19),"YES","NO"))</f>
        <v/>
      </c>
      <c r="X30" s="32"/>
      <c r="Y30" s="8" t="str">
        <f aca="false">IF($X30="","",IF($X30&lt;=Assumptions!$B$20,"YES","NO"))</f>
        <v/>
      </c>
      <c r="Z30" s="18"/>
      <c r="AA30" s="9"/>
      <c r="AB30" s="18"/>
      <c r="AC30" s="9"/>
      <c r="AD30" s="8" t="str">
        <f aca="false">IF($O30="","",IF(AND(IF(N($Z30)&lt;=0,TRUE(),N($AA30)&gt;=Assumptions!$B$21*N($Z30)),IF(N($AB30)&lt;=0,TRUE(),N($AC30)&gt;=Assumptions!$B$21*N($AB30))),"YES","NO"))</f>
        <v/>
      </c>
      <c r="AE30" s="26" t="str">
        <f aca="false">IF($O30="","",IF($O30="TOO SHORT",0,IF($O30="ALL-SEASON",40,25)+IF($S30="",0,MAX(0,ROUND(20*(1-$S30/Assumptions!$B$17),0)))+IF($W30="YES",15,0)+IF($Y30="YES",10,0)+IF($AD30="YES",15,0)))</f>
        <v/>
      </c>
      <c r="AF30" s="8" t="str">
        <f aca="false">IF($AE30="","",IF($O30="TOO SHORT","REJECT",IF($AE30&gt;=80,"STRONG",IF($AE30&gt;=55,"MARGINAL","WEAK"))))</f>
        <v/>
      </c>
      <c r="AG30" s="12"/>
    </row>
    <row r="31" customFormat="false" ht="15" hidden="false" customHeight="false" outlineLevel="0" collapsed="false">
      <c r="A31" s="12"/>
      <c r="B31" s="12"/>
      <c r="C31" s="12"/>
      <c r="D31" s="31"/>
      <c r="E31" s="9"/>
      <c r="F31" s="25" t="str">
        <f aca="false">IF(OR($D31="",$E31=""),"",$D31/MAX($E31,0.01))</f>
        <v/>
      </c>
      <c r="G31" s="9"/>
      <c r="H31" s="26" t="str">
        <f aca="false">IF($C31="","",INDEX(Assumptions!$B$25:$B$27,MATCH($C31,Assumptions!$A$25:$A$27,0)))</f>
        <v/>
      </c>
      <c r="I31" s="26" t="str">
        <f aca="false">IF($C31="","",INDEX(Assumptions!$C$25:$C$27,MATCH($C31,Assumptions!$A$25:$A$27,0)))</f>
        <v/>
      </c>
      <c r="J31" s="27" t="str">
        <f aca="false">IF(OR($G31="",$C31=""),"",ROUND($G31+120*((($H31-32)*5/9)-(15-1.98*$G31/1000)),0))</f>
        <v/>
      </c>
      <c r="K31" s="27" t="str">
        <f aca="false">IF(OR($G31="",$C31=""),"",ROUND($G31+120*((($I31-32)*5/9)-(15-1.98*$G31/1000)),0))</f>
        <v/>
      </c>
      <c r="L31" s="27" t="str">
        <f aca="false">IF($J31="","",ROUND(MAX(Assumptions!$B$10,Assumptions!$B$11)*POWER(1+Assumptions!$B$14,MAX($J31,0)/1000)*Assumptions!$B$15*Assumptions!$B$16,0))</f>
        <v/>
      </c>
      <c r="M31" s="27" t="str">
        <f aca="false">IF($K31="","",ROUND(MAX(Assumptions!$B$10,Assumptions!$B$11)*POWER(1+Assumptions!$B$14,MAX($K31,0)/1000)*Assumptions!$B$15*Assumptions!$B$16,0))</f>
        <v/>
      </c>
      <c r="N31" s="9"/>
      <c r="O31" s="8" t="str">
        <f aca="false">IF(OR($N31="",$L31=""),"",IF($N31&gt;=$L31,"ALL-SEASON",IF($N31&gt;=$M31,"COOL-DAY ONLY","TOO SHORT")))</f>
        <v/>
      </c>
      <c r="P31" s="18"/>
      <c r="Q31" s="26" t="str">
        <f aca="false">IF($C31="","",INDEX(Assumptions!$D$25:$D$27,MATCH($C31,Assumptions!$A$25:$A$27,0)))</f>
        <v/>
      </c>
      <c r="R31" s="26" t="str">
        <f aca="false">IF($C31="","",INDEX(Assumptions!$E$25:$E$27,MATCH($C31,Assumptions!$A$25:$A$27,0)))</f>
        <v/>
      </c>
      <c r="S31" s="26" t="str">
        <f aca="false">IF(OR($P31="",$C31=""),"",ROUND($R31*SIN(RADIANS(MIN(MOD(ABS($P31-$Q31),180),180-MOD(ABS($P31-$Q31),180)))),0))</f>
        <v/>
      </c>
      <c r="T31" s="8" t="str">
        <f aca="false">IF($S31="","",IF($S31&lt;=Assumptions!$B$17,"YES","NO"))</f>
        <v/>
      </c>
      <c r="U31" s="19"/>
      <c r="V31" s="19"/>
      <c r="W31" s="8" t="str">
        <f aca="false">IF(AND($U31="",$V31=""),"",IF(AND(N($U31)&lt;=Assumptions!$B$18,N($V31)&lt;=Assumptions!$B$19),"YES","NO"))</f>
        <v/>
      </c>
      <c r="X31" s="32"/>
      <c r="Y31" s="8" t="str">
        <f aca="false">IF($X31="","",IF($X31&lt;=Assumptions!$B$20,"YES","NO"))</f>
        <v/>
      </c>
      <c r="Z31" s="18"/>
      <c r="AA31" s="9"/>
      <c r="AB31" s="18"/>
      <c r="AC31" s="9"/>
      <c r="AD31" s="8" t="str">
        <f aca="false">IF($O31="","",IF(AND(IF(N($Z31)&lt;=0,TRUE(),N($AA31)&gt;=Assumptions!$B$21*N($Z31)),IF(N($AB31)&lt;=0,TRUE(),N($AC31)&gt;=Assumptions!$B$21*N($AB31))),"YES","NO"))</f>
        <v/>
      </c>
      <c r="AE31" s="26" t="str">
        <f aca="false">IF($O31="","",IF($O31="TOO SHORT",0,IF($O31="ALL-SEASON",40,25)+IF($S31="",0,MAX(0,ROUND(20*(1-$S31/Assumptions!$B$17),0)))+IF($W31="YES",15,0)+IF($Y31="YES",10,0)+IF($AD31="YES",15,0)))</f>
        <v/>
      </c>
      <c r="AF31" s="8" t="str">
        <f aca="false">IF($AE31="","",IF($O31="TOO SHORT","REJECT",IF($AE31&gt;=80,"STRONG",IF($AE31&gt;=55,"MARGINAL","WEAK"))))</f>
        <v/>
      </c>
      <c r="AG31" s="12"/>
    </row>
  </sheetData>
  <conditionalFormatting sqref="O2:O31">
    <cfRule type="cellIs" priority="2" operator="equal" aboveAverage="0" equalAverage="0" bottom="0" percent="0" rank="0" text="" dxfId="0">
      <formula>"ALL-SEASON"</formula>
    </cfRule>
    <cfRule type="cellIs" priority="3" operator="equal" aboveAverage="0" equalAverage="0" bottom="0" percent="0" rank="0" text="" dxfId="1">
      <formula>"COOL-DAY ONLY"</formula>
    </cfRule>
    <cfRule type="cellIs" priority="4" operator="equal" aboveAverage="0" equalAverage="0" bottom="0" percent="0" rank="0" text="" dxfId="2">
      <formula>"TOO SHORT"</formula>
    </cfRule>
  </conditionalFormatting>
  <conditionalFormatting sqref="AF2:AF31">
    <cfRule type="cellIs" priority="5" operator="equal" aboveAverage="0" equalAverage="0" bottom="0" percent="0" rank="0" text="" dxfId="0">
      <formula>"STRONG"</formula>
    </cfRule>
    <cfRule type="cellIs" priority="6" operator="equal" aboveAverage="0" equalAverage="0" bottom="0" percent="0" rank="0" text="" dxfId="1">
      <formula>"MARGINAL"</formula>
    </cfRule>
    <cfRule type="cellIs" priority="7" operator="equal" aboveAverage="0" equalAverage="0" bottom="0" percent="0" rank="0" text="" dxfId="3">
      <formula>"WEAK"</formula>
    </cfRule>
    <cfRule type="cellIs" priority="8" operator="equal" aboveAverage="0" equalAverage="0" bottom="0" percent="0" rank="0" text="" dxfId="2">
      <formula>"REJECT"</formula>
    </cfRule>
  </conditionalFormatting>
  <conditionalFormatting sqref="T2:T31">
    <cfRule type="cellIs" priority="9" operator="equal" aboveAverage="0" equalAverage="0" bottom="0" percent="0" rank="0" text="" dxfId="2">
      <formula>"NO"</formula>
    </cfRule>
    <cfRule type="cellIs" priority="10" operator="equal" aboveAverage="0" equalAverage="0" bottom="0" percent="0" rank="0" text="" dxfId="0">
      <formula>"YES"</formula>
    </cfRule>
  </conditionalFormatting>
  <conditionalFormatting sqref="W2:W31">
    <cfRule type="cellIs" priority="11" operator="equal" aboveAverage="0" equalAverage="0" bottom="0" percent="0" rank="0" text="" dxfId="2">
      <formula>"NO"</formula>
    </cfRule>
    <cfRule type="cellIs" priority="12" operator="equal" aboveAverage="0" equalAverage="0" bottom="0" percent="0" rank="0" text="" dxfId="0">
      <formula>"YES"</formula>
    </cfRule>
  </conditionalFormatting>
  <conditionalFormatting sqref="Y2:Y31">
    <cfRule type="cellIs" priority="13" operator="equal" aboveAverage="0" equalAverage="0" bottom="0" percent="0" rank="0" text="" dxfId="2">
      <formula>"NO"</formula>
    </cfRule>
    <cfRule type="cellIs" priority="14" operator="equal" aboveAverage="0" equalAverage="0" bottom="0" percent="0" rank="0" text="" dxfId="0">
      <formula>"YES"</formula>
    </cfRule>
  </conditionalFormatting>
  <conditionalFormatting sqref="AD2:AD31">
    <cfRule type="cellIs" priority="15" operator="equal" aboveAverage="0" equalAverage="0" bottom="0" percent="0" rank="0" text="" dxfId="2">
      <formula>"NO"</formula>
    </cfRule>
    <cfRule type="cellIs" priority="16" operator="equal" aboveAverage="0" equalAverage="0" bottom="0" percent="0" rank="0" text="" dxfId="0">
      <formula>"YES"</formula>
    </cfRule>
  </conditionalFormatting>
  <dataValidations count="1">
    <dataValidation allowBlank="true" errorStyle="stop" operator="between" showDropDown="false" showErrorMessage="false" showInputMessage="false" sqref="C2:C31" type="list">
      <formula1>"Columbia Gorge (WA side),Central Oregon,Eastern Oregon"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2026-09-18T00:16:05Z</dcterms:created>
  <dc:creator>openpyxl</dc:creator>
  <dc:description/>
  <dc:language>en-US</dc:language>
  <cp:lastModifiedBy/>
  <dcterms:modified xsi:type="dcterms:W3CDTF">2026-09-18T00:16:05Z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